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16380" windowHeight="8190" tabRatio="500" firstSheet="2" activeTab="6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Các bảng tham chiếu &amp; Thống kê" sheetId="5" r:id="rId5"/>
    <sheet name="Sinh viên điểm &gt;= 7" sheetId="7" r:id="rId6"/>
    <sheet name="Sinh viên điểm &lt; 7" sheetId="6" r:id="rId7"/>
  </sheets>
  <externalReferences>
    <externalReference r:id="rId8"/>
  </externalReferenc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" i="7" l="1"/>
  <c r="J2" i="7"/>
  <c r="I2" i="7"/>
  <c r="H2" i="7"/>
  <c r="G2" i="7"/>
  <c r="F2" i="7"/>
  <c r="E2" i="7"/>
  <c r="D2" i="7"/>
  <c r="C2" i="7"/>
  <c r="B2" i="7"/>
  <c r="A2" i="7"/>
  <c r="K12" i="6"/>
  <c r="J12" i="6"/>
  <c r="I12" i="6"/>
  <c r="H12" i="6"/>
  <c r="G12" i="6"/>
  <c r="F12" i="6"/>
  <c r="E12" i="6"/>
  <c r="D12" i="6"/>
  <c r="C12" i="6"/>
  <c r="B12" i="6"/>
  <c r="A12" i="6"/>
  <c r="K11" i="6"/>
  <c r="J11" i="6"/>
  <c r="I11" i="6"/>
  <c r="H11" i="6"/>
  <c r="G11" i="6"/>
  <c r="F11" i="6"/>
  <c r="E11" i="6"/>
  <c r="D11" i="6"/>
  <c r="C11" i="6"/>
  <c r="B11" i="6"/>
  <c r="A11" i="6"/>
  <c r="K10" i="6"/>
  <c r="J10" i="6"/>
  <c r="I10" i="6"/>
  <c r="H10" i="6"/>
  <c r="G10" i="6"/>
  <c r="F10" i="6"/>
  <c r="E10" i="6"/>
  <c r="D10" i="6"/>
  <c r="C10" i="6"/>
  <c r="B10" i="6"/>
  <c r="A10" i="6"/>
  <c r="K9" i="6"/>
  <c r="J9" i="6"/>
  <c r="I9" i="6"/>
  <c r="H9" i="6"/>
  <c r="G9" i="6"/>
  <c r="F9" i="6"/>
  <c r="E9" i="6"/>
  <c r="D9" i="6"/>
  <c r="C9" i="6"/>
  <c r="B9" i="6"/>
  <c r="A9" i="6"/>
  <c r="K8" i="6"/>
  <c r="J8" i="6"/>
  <c r="I8" i="6"/>
  <c r="H8" i="6"/>
  <c r="G8" i="6"/>
  <c r="F8" i="6"/>
  <c r="E8" i="6"/>
  <c r="D8" i="6"/>
  <c r="C8" i="6"/>
  <c r="B8" i="6"/>
  <c r="A8" i="6"/>
  <c r="K7" i="6"/>
  <c r="J7" i="6"/>
  <c r="I7" i="6"/>
  <c r="H7" i="6"/>
  <c r="G7" i="6"/>
  <c r="F7" i="6"/>
  <c r="E7" i="6"/>
  <c r="D7" i="6"/>
  <c r="C7" i="6"/>
  <c r="B7" i="6"/>
  <c r="A7" i="6"/>
  <c r="K6" i="6"/>
  <c r="J6" i="6"/>
  <c r="I6" i="6"/>
  <c r="H6" i="6"/>
  <c r="G6" i="6"/>
  <c r="F6" i="6"/>
  <c r="E6" i="6"/>
  <c r="D6" i="6"/>
  <c r="C6" i="6"/>
  <c r="B6" i="6"/>
  <c r="A6" i="6"/>
  <c r="K5" i="6"/>
  <c r="J5" i="6"/>
  <c r="I5" i="6"/>
  <c r="H5" i="6"/>
  <c r="G5" i="6"/>
  <c r="F5" i="6"/>
  <c r="E5" i="6"/>
  <c r="D5" i="6"/>
  <c r="C5" i="6"/>
  <c r="B5" i="6"/>
  <c r="A5" i="6"/>
  <c r="K4" i="6"/>
  <c r="J4" i="6"/>
  <c r="I4" i="6"/>
  <c r="H4" i="6"/>
  <c r="G4" i="6"/>
  <c r="F4" i="6"/>
  <c r="E4" i="6"/>
  <c r="D4" i="6"/>
  <c r="C4" i="6"/>
  <c r="B4" i="6"/>
  <c r="A4" i="6"/>
  <c r="K3" i="6"/>
  <c r="J3" i="6"/>
  <c r="I3" i="6"/>
  <c r="H3" i="6"/>
  <c r="G3" i="6"/>
  <c r="F3" i="6"/>
  <c r="E3" i="6"/>
  <c r="D3" i="6"/>
  <c r="C3" i="6"/>
  <c r="B3" i="6"/>
  <c r="A3" i="6"/>
  <c r="K2" i="6"/>
  <c r="J2" i="6"/>
  <c r="I2" i="6"/>
  <c r="H2" i="6"/>
  <c r="G2" i="6"/>
  <c r="F2" i="6"/>
  <c r="E2" i="6"/>
  <c r="D2" i="6"/>
  <c r="C2" i="6"/>
  <c r="B2" i="6"/>
  <c r="F27" i="5"/>
  <c r="H20" i="1"/>
  <c r="I20" i="1" s="1"/>
  <c r="G20" i="1"/>
  <c r="F20" i="1"/>
  <c r="E20" i="1"/>
  <c r="D20" i="1"/>
  <c r="C20" i="1"/>
  <c r="J19" i="1"/>
  <c r="K19" i="1" s="1"/>
  <c r="H19" i="1"/>
  <c r="I19" i="1" s="1"/>
  <c r="G19" i="1"/>
  <c r="F19" i="1"/>
  <c r="E19" i="1"/>
  <c r="D19" i="1"/>
  <c r="C19" i="1"/>
  <c r="I18" i="1"/>
  <c r="J18" i="1" s="1"/>
  <c r="K18" i="1" s="1"/>
  <c r="H18" i="1"/>
  <c r="G18" i="1"/>
  <c r="F18" i="1"/>
  <c r="E18" i="1"/>
  <c r="D18" i="1"/>
  <c r="C18" i="1"/>
  <c r="J17" i="1"/>
  <c r="K17" i="1" s="1"/>
  <c r="H17" i="1"/>
  <c r="I17" i="1" s="1"/>
  <c r="G17" i="1"/>
  <c r="F17" i="1"/>
  <c r="E17" i="1"/>
  <c r="D17" i="1"/>
  <c r="C17" i="1"/>
  <c r="H16" i="1"/>
  <c r="I16" i="1" s="1"/>
  <c r="J16" i="1" s="1"/>
  <c r="K16" i="1" s="1"/>
  <c r="G16" i="1"/>
  <c r="F16" i="1"/>
  <c r="E16" i="1"/>
  <c r="D16" i="1"/>
  <c r="C16" i="1"/>
  <c r="H15" i="1"/>
  <c r="I15" i="1" s="1"/>
  <c r="G15" i="1"/>
  <c r="J15" i="1" s="1"/>
  <c r="K15" i="1" s="1"/>
  <c r="F15" i="1"/>
  <c r="E15" i="1"/>
  <c r="D15" i="1"/>
  <c r="C15" i="1"/>
  <c r="H14" i="1"/>
  <c r="I14" i="1" s="1"/>
  <c r="G14" i="1"/>
  <c r="J14" i="1" s="1"/>
  <c r="K14" i="1" s="1"/>
  <c r="F14" i="1"/>
  <c r="E14" i="1"/>
  <c r="D14" i="1"/>
  <c r="C14" i="1"/>
  <c r="H13" i="1"/>
  <c r="I13" i="1" s="1"/>
  <c r="G13" i="1"/>
  <c r="J13" i="1" s="1"/>
  <c r="K13" i="1" s="1"/>
  <c r="F13" i="1"/>
  <c r="E13" i="1"/>
  <c r="D13" i="1"/>
  <c r="C13" i="1"/>
  <c r="H12" i="1"/>
  <c r="I12" i="1" s="1"/>
  <c r="G12" i="1"/>
  <c r="J12" i="1" s="1"/>
  <c r="K12" i="1" s="1"/>
  <c r="F12" i="1"/>
  <c r="E12" i="1"/>
  <c r="D12" i="1"/>
  <c r="C12" i="1"/>
  <c r="H11" i="1"/>
  <c r="I11" i="1" s="1"/>
  <c r="J11" i="1" s="1"/>
  <c r="K11" i="1" s="1"/>
  <c r="G11" i="1"/>
  <c r="F11" i="1"/>
  <c r="E11" i="1"/>
  <c r="D11" i="1"/>
  <c r="C11" i="1"/>
  <c r="I10" i="1"/>
  <c r="J10" i="1" s="1"/>
  <c r="K10" i="1" s="1"/>
  <c r="H10" i="1"/>
  <c r="G10" i="1"/>
  <c r="F10" i="1"/>
  <c r="E10" i="1"/>
  <c r="D10" i="1"/>
  <c r="C10" i="1"/>
  <c r="J9" i="1"/>
  <c r="K9" i="1" s="1"/>
  <c r="I9" i="1"/>
  <c r="H9" i="1"/>
  <c r="G9" i="1"/>
  <c r="F9" i="1"/>
  <c r="E9" i="1"/>
  <c r="D9" i="1"/>
  <c r="C9" i="1"/>
  <c r="H8" i="1"/>
  <c r="I8" i="1" s="1"/>
  <c r="G8" i="1"/>
  <c r="F8" i="1"/>
  <c r="E8" i="1"/>
  <c r="D8" i="1"/>
  <c r="C8" i="1"/>
  <c r="H7" i="1"/>
  <c r="G7" i="1"/>
  <c r="F7" i="1"/>
  <c r="E7" i="1"/>
  <c r="D7" i="1"/>
  <c r="I7" i="1" s="1"/>
  <c r="C7" i="1"/>
  <c r="J20" i="1" l="1"/>
  <c r="K20" i="1" s="1"/>
  <c r="J7" i="1"/>
  <c r="J8" i="1"/>
  <c r="K8" i="1" s="1"/>
  <c r="F24" i="5"/>
  <c r="F28" i="5" l="1"/>
  <c r="K7" i="1"/>
  <c r="F19" i="5" l="1"/>
  <c r="F21" i="5"/>
  <c r="F20" i="5"/>
  <c r="F18" i="5"/>
  <c r="F17" i="5"/>
  <c r="F16" i="5"/>
  <c r="F15" i="5"/>
  <c r="F14" i="5"/>
  <c r="A2" i="6"/>
</calcChain>
</file>

<file path=xl/sharedStrings.xml><?xml version="1.0" encoding="utf-8"?>
<sst xmlns="http://schemas.openxmlformats.org/spreadsheetml/2006/main" count="228" uniqueCount="89">
  <si>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</si>
  <si>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</si>
  <si>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</si>
  <si>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</si>
  <si>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</si>
  <si>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</si>
  <si>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</si>
  <si>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</si>
  <si>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</si>
  <si>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</si>
  <si>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</si>
  <si>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</si>
  <si>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</si>
  <si>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</si>
  <si>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</si>
  <si>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</si>
  <si>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</si>
  <si>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</si>
  <si>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</si>
  <si>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</si>
  <si>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</si>
  <si>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</si>
  <si>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&lt;7</t>
  </si>
  <si>
    <t>1B1505915</t>
  </si>
  <si>
    <t>0B1509874</t>
  </si>
  <si>
    <t>0B1509929</t>
  </si>
  <si>
    <t>2B1605223</t>
  </si>
  <si>
    <t>&gt;=7</t>
  </si>
  <si>
    <t>B+</t>
  </si>
  <si>
    <t>0B1605235</t>
  </si>
  <si>
    <t>A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</si>
  <si>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</si>
  <si>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</si>
  <si>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</si>
  <si>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</si>
  <si>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</si>
  <si>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</si>
  <si>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</si>
  <si>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</si>
  <si>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</si>
  <si>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Họ và tên</t>
  </si>
  <si>
    <t>B1505719</t>
  </si>
  <si>
    <t>Nguyễn Văn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</si>
  <si>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</si>
  <si>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</si>
  <si>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</si>
  <si>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</si>
  <si>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</si>
  <si>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</si>
  <si>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</si>
  <si>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</si>
  <si>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</si>
  <si>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</si>
  <si>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</si>
  <si>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</si>
  <si>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</si>
  <si>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</si>
  <si>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</si>
  <si>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</si>
  <si>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</si>
  <si>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</si>
  <si>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</si>
  <si>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</si>
  <si>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</si>
  <si>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</si>
  <si>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</si>
  <si>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</si>
  <si>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</si>
  <si>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</si>
  <si>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bài tập lớn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</si>
  <si>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</si>
  <si>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</si>
  <si>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</si>
  <si>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</si>
  <si>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</si>
  <si>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</si>
  <si>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</si>
  <si>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</si>
  <si>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</si>
  <si>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</si>
  <si>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</si>
  <si>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</si>
  <si>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Danh sách Sinh viên</t>
  </si>
  <si>
    <t>Bảng thống kê theo điểm chữ</t>
  </si>
  <si>
    <t>Số lượng sinh viên</t>
  </si>
  <si>
    <t>Bảng thống kê SV</t>
  </si>
  <si>
    <t>Số sinh viên điểm BT lớn = 0 hoặc điểm LT = -3</t>
  </si>
  <si>
    <t>Số SV nghỉ TH &gt; 2</t>
  </si>
  <si>
    <t>Số SV có Điểm thang 10 &gt;= 7 và Điểm chữ B+ hoặc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</si>
</sst>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4"/>
      <name val="Times New Roman"/>
      <charset val="1"/>
    </font>
    <font>
      <b/>
      <sz val="12"/>
      <name val="Times New Roman"/>
      <charset val="1"/>
    </font>
    <font>
      <sz val="12"/>
      <name val="Times New Roman"/>
      <charset val="1"/>
    </font>
    <font>
      <i/>
      <sz val="10"/>
      <color rgb="FF808080"/>
      <name val="Times New Roman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b/>
      <sz val="13"/>
      <name val="Times New Roman"/>
      <charset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164" fontId="8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08080"/>
      <rgbColor rgb="FF93A9CE"/>
      <rgbColor rgb="FFAB4744"/>
      <rgbColor rgb="FFFFFFCC"/>
      <rgbColor rgb="FFCCFFFF"/>
      <rgbColor rgb="FF660066"/>
      <rgbColor rgb="FFDC853E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vi-VN"/>
              <a:t>Thống kê tổng số lượng Sinh viên theo điểm chữ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'Các bảng tham chiếu &amp; Thống kê'!$F$13</c:f>
              <c:strCache>
                <c:ptCount val="1"/>
                <c:pt idx="0">
                  <c:v>Số lượng sinh viên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shade val="51000"/>
                    </a:schemeClr>
                  </a:gs>
                  <a:gs pos="80000">
                    <a:schemeClr val="accent6">
                      <a:shade val="93000"/>
                    </a:schemeClr>
                  </a:gs>
                  <a:gs pos="100000">
                    <a:schemeClr val="accent6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shade val="51000"/>
                    </a:schemeClr>
                  </a:gs>
                  <a:gs pos="80000">
                    <a:schemeClr val="accent1">
                      <a:lumMod val="60000"/>
                      <a:shade val="93000"/>
                    </a:schemeClr>
                  </a:gs>
                  <a:gs pos="100000">
                    <a:schemeClr val="accent1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shade val="51000"/>
                    </a:schemeClr>
                  </a:gs>
                  <a:gs pos="80000">
                    <a:schemeClr val="accent2">
                      <a:lumMod val="60000"/>
                      <a:shade val="93000"/>
                    </a:schemeClr>
                  </a:gs>
                  <a:gs pos="100000">
                    <a:schemeClr val="accent2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  <a:sp3d/>
            </c:spPr>
          </c:dPt>
          <c:dLbls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16</xdr:col>
      <xdr:colOff>255960</xdr:colOff>
      <xdr:row>19</xdr:row>
      <xdr:rowOff>151560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uoi03_Bai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ng hợp điểm"/>
      <sheetName val="Điểm thực hành các buổi"/>
      <sheetName val="Điểm bài tập lớn"/>
      <sheetName val="Điểm lý thuyết"/>
      <sheetName val="Các bảng tham chiếu &amp; Thống kê"/>
      <sheetName val="Sinh viên điểm &gt;= 7"/>
      <sheetName val="Sinh viên điểm &lt; 7"/>
    </sheetNames>
    <sheetDataSet>
      <sheetData sheetId="0">
        <row r="7">
          <cell r="A7">
            <v>1</v>
          </cell>
          <cell r="B7" t="str">
            <v>0B1505719</v>
          </cell>
          <cell r="C7" t="str">
            <v>Nguyễn Văn Hiếu</v>
          </cell>
          <cell r="D7">
            <v>0.45</v>
          </cell>
          <cell r="E7">
            <v>0.25</v>
          </cell>
          <cell r="F7">
            <v>0.3</v>
          </cell>
          <cell r="G7">
            <v>0.5</v>
          </cell>
          <cell r="H7">
            <v>4.2</v>
          </cell>
          <cell r="I7">
            <v>4</v>
          </cell>
          <cell r="J7">
            <v>5</v>
          </cell>
          <cell r="K7" t="str">
            <v>D+</v>
          </cell>
        </row>
        <row r="8">
          <cell r="A8">
            <v>2</v>
          </cell>
          <cell r="B8" t="str">
            <v>1B1505915</v>
          </cell>
          <cell r="C8" t="str">
            <v>Lý Minh Trí</v>
          </cell>
          <cell r="D8">
            <v>0.5</v>
          </cell>
          <cell r="E8">
            <v>0.35</v>
          </cell>
          <cell r="F8">
            <v>0.4</v>
          </cell>
          <cell r="G8">
            <v>1</v>
          </cell>
          <cell r="H8">
            <v>5.8</v>
          </cell>
          <cell r="I8">
            <v>5.7</v>
          </cell>
          <cell r="J8">
            <v>6.2</v>
          </cell>
          <cell r="K8" t="str">
            <v>C</v>
          </cell>
        </row>
        <row r="9">
          <cell r="A9">
            <v>3</v>
          </cell>
          <cell r="B9" t="str">
            <v>0B1509874</v>
          </cell>
          <cell r="C9" t="str">
            <v>Nguyễn Kiều Mi</v>
          </cell>
          <cell r="D9">
            <v>0.25</v>
          </cell>
          <cell r="E9">
            <v>0.25</v>
          </cell>
          <cell r="F9">
            <v>0.3</v>
          </cell>
          <cell r="G9">
            <v>0.5</v>
          </cell>
          <cell r="H9">
            <v>5.8</v>
          </cell>
          <cell r="I9">
            <v>4.8</v>
          </cell>
          <cell r="J9">
            <v>5.8</v>
          </cell>
          <cell r="K9" t="str">
            <v>C</v>
          </cell>
        </row>
        <row r="10">
          <cell r="A10">
            <v>4</v>
          </cell>
          <cell r="B10" t="str">
            <v>0B1509929</v>
          </cell>
          <cell r="C10" t="str">
            <v>Đặng Duy Linh</v>
          </cell>
          <cell r="D10">
            <v>0.4</v>
          </cell>
          <cell r="E10">
            <v>0.25</v>
          </cell>
          <cell r="F10">
            <v>0.35</v>
          </cell>
          <cell r="G10">
            <v>1</v>
          </cell>
          <cell r="H10">
            <v>4.5</v>
          </cell>
          <cell r="I10">
            <v>4.7</v>
          </cell>
          <cell r="J10">
            <v>5.7</v>
          </cell>
          <cell r="K10" t="str">
            <v>C</v>
          </cell>
        </row>
        <row r="11">
          <cell r="A11">
            <v>5</v>
          </cell>
          <cell r="B11" t="str">
            <v>2B1605223</v>
          </cell>
          <cell r="C11" t="str">
            <v>Lê Thị Trúc Linh</v>
          </cell>
          <cell r="D11">
            <v>0.45</v>
          </cell>
          <cell r="E11">
            <v>0.4</v>
          </cell>
          <cell r="F11">
            <v>0.35</v>
          </cell>
          <cell r="G11">
            <v>0.75</v>
          </cell>
          <cell r="H11">
            <v>5.5</v>
          </cell>
          <cell r="I11">
            <v>5.3</v>
          </cell>
          <cell r="J11">
            <v>5.6</v>
          </cell>
          <cell r="K11" t="str">
            <v>C</v>
          </cell>
        </row>
        <row r="12">
          <cell r="A12">
            <v>6</v>
          </cell>
          <cell r="B12" t="str">
            <v>0B1605235</v>
          </cell>
          <cell r="C12" t="str">
            <v>Phạm Thị Huỳnh</v>
          </cell>
          <cell r="D12">
            <v>0.4</v>
          </cell>
          <cell r="E12">
            <v>0.45</v>
          </cell>
          <cell r="F12">
            <v>0.5</v>
          </cell>
          <cell r="G12">
            <v>1.2</v>
          </cell>
          <cell r="H12">
            <v>7.5</v>
          </cell>
          <cell r="I12">
            <v>7.1</v>
          </cell>
          <cell r="J12">
            <v>8.1</v>
          </cell>
          <cell r="K12" t="str">
            <v>B+</v>
          </cell>
        </row>
        <row r="13">
          <cell r="A13">
            <v>7</v>
          </cell>
          <cell r="B13" t="str">
            <v>0B1605249</v>
          </cell>
          <cell r="C13" t="str">
            <v>Lê Minh Thông</v>
          </cell>
          <cell r="D13">
            <v>0.4</v>
          </cell>
          <cell r="E13">
            <v>0.4</v>
          </cell>
          <cell r="F13">
            <v>0.4</v>
          </cell>
          <cell r="G13">
            <v>1</v>
          </cell>
          <cell r="H13">
            <v>5.3</v>
          </cell>
          <cell r="I13">
            <v>5.4</v>
          </cell>
          <cell r="J13">
            <v>6.4</v>
          </cell>
          <cell r="K13" t="str">
            <v>C</v>
          </cell>
        </row>
        <row r="14">
          <cell r="A14">
            <v>8</v>
          </cell>
          <cell r="B14" t="str">
            <v>0B1605285</v>
          </cell>
          <cell r="C14" t="str">
            <v>Huỳnh Thị Diễm</v>
          </cell>
          <cell r="D14">
            <v>0.45</v>
          </cell>
          <cell r="E14">
            <v>0.4</v>
          </cell>
          <cell r="F14">
            <v>0.45</v>
          </cell>
          <cell r="G14">
            <v>0</v>
          </cell>
          <cell r="H14">
            <v>6.8</v>
          </cell>
          <cell r="I14">
            <v>5.4</v>
          </cell>
          <cell r="J14">
            <v>0</v>
          </cell>
          <cell r="K14" t="str">
            <v>F</v>
          </cell>
        </row>
        <row r="15">
          <cell r="A15">
            <v>9</v>
          </cell>
          <cell r="B15" t="str">
            <v>0B1605291</v>
          </cell>
          <cell r="C15" t="str">
            <v>Trần Thanh Nguyên</v>
          </cell>
          <cell r="D15">
            <v>0.45</v>
          </cell>
          <cell r="E15">
            <v>0.4</v>
          </cell>
          <cell r="F15">
            <v>0.4</v>
          </cell>
          <cell r="G15">
            <v>0.75</v>
          </cell>
          <cell r="H15">
            <v>6.3</v>
          </cell>
          <cell r="I15">
            <v>5.8</v>
          </cell>
          <cell r="J15">
            <v>6.8</v>
          </cell>
          <cell r="K15" t="str">
            <v>C+</v>
          </cell>
        </row>
        <row r="16">
          <cell r="A16">
            <v>10</v>
          </cell>
          <cell r="B16" t="str">
            <v>1B1605344</v>
          </cell>
          <cell r="C16" t="str">
            <v>Nguyễn Thị Đào</v>
          </cell>
          <cell r="D16">
            <v>0.3</v>
          </cell>
          <cell r="E16">
            <v>0.5</v>
          </cell>
          <cell r="F16">
            <v>0.45</v>
          </cell>
          <cell r="G16">
            <v>0.3</v>
          </cell>
          <cell r="H16">
            <v>8.3000000000000007</v>
          </cell>
          <cell r="I16">
            <v>6.5</v>
          </cell>
          <cell r="J16">
            <v>7</v>
          </cell>
          <cell r="K16" t="str">
            <v>B</v>
          </cell>
        </row>
        <row r="17">
          <cell r="A17">
            <v>11</v>
          </cell>
          <cell r="B17" t="str">
            <v>4B1607025</v>
          </cell>
          <cell r="C17" t="str">
            <v>Nguyễn Chí Thanh</v>
          </cell>
          <cell r="D17">
            <v>0.4</v>
          </cell>
          <cell r="E17">
            <v>0.45</v>
          </cell>
          <cell r="F17">
            <v>0.4</v>
          </cell>
          <cell r="G17">
            <v>0.3</v>
          </cell>
          <cell r="H17">
            <v>-3</v>
          </cell>
          <cell r="I17">
            <v>0</v>
          </cell>
          <cell r="J17">
            <v>0</v>
          </cell>
          <cell r="K17" t="str">
            <v>F</v>
          </cell>
        </row>
        <row r="18">
          <cell r="A18">
            <v>12</v>
          </cell>
          <cell r="B18" t="str">
            <v>2B1609759</v>
          </cell>
          <cell r="C18" t="str">
            <v>Nguyễn Hải Anh</v>
          </cell>
          <cell r="D18">
            <v>0.5</v>
          </cell>
          <cell r="E18">
            <v>0.5</v>
          </cell>
          <cell r="F18">
            <v>0.45</v>
          </cell>
          <cell r="G18">
            <v>1.5</v>
          </cell>
          <cell r="H18">
            <v>7</v>
          </cell>
          <cell r="I18">
            <v>7.2</v>
          </cell>
          <cell r="J18">
            <v>7.5</v>
          </cell>
          <cell r="K18" t="str">
            <v>B</v>
          </cell>
        </row>
        <row r="19">
          <cell r="A19">
            <v>13</v>
          </cell>
          <cell r="B19" t="str">
            <v>5B1609765</v>
          </cell>
          <cell r="C19" t="str">
            <v>Trần Nam Dương</v>
          </cell>
          <cell r="D19">
            <v>0.4</v>
          </cell>
          <cell r="E19">
            <v>0.4</v>
          </cell>
          <cell r="F19">
            <v>0.35</v>
          </cell>
          <cell r="G19">
            <v>1.35</v>
          </cell>
          <cell r="H19">
            <v>-3</v>
          </cell>
          <cell r="I19">
            <v>0</v>
          </cell>
          <cell r="J19">
            <v>0</v>
          </cell>
          <cell r="K19" t="str">
            <v>F</v>
          </cell>
        </row>
        <row r="20">
          <cell r="A20">
            <v>14</v>
          </cell>
          <cell r="B20" t="str">
            <v>0B1609773</v>
          </cell>
          <cell r="C20" t="str">
            <v>Nguyễn Duy Khanh</v>
          </cell>
          <cell r="D20">
            <v>0.35</v>
          </cell>
          <cell r="E20">
            <v>0.4</v>
          </cell>
          <cell r="F20">
            <v>0</v>
          </cell>
          <cell r="G20">
            <v>0.85</v>
          </cell>
          <cell r="H20">
            <v>6.5</v>
          </cell>
          <cell r="I20">
            <v>5.5</v>
          </cell>
          <cell r="J20">
            <v>6.5</v>
          </cell>
          <cell r="K20" t="str">
            <v>C+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17" sqref="C17"/>
    </sheetView>
  </sheetViews>
  <sheetFormatPr defaultColWidth="8.7109375" defaultRowHeight="15" x14ac:dyDescent="0.25"/>
  <cols>
    <col min="1" max="1" width="6" style="6" customWidth="1"/>
    <col min="2" max="2" width="12" style="6" customWidth="1"/>
    <col min="3" max="3" width="20" style="6" customWidth="1"/>
    <col min="4" max="6" width="9" style="6" customWidth="1"/>
    <col min="7" max="7" width="10" style="6" customWidth="1"/>
    <col min="8" max="9" width="9" style="6" customWidth="1"/>
    <col min="10" max="10" width="12" style="6" customWidth="1"/>
    <col min="11" max="11" width="9" style="6" customWidth="1"/>
    <col min="13" max="13" width="24" style="6" customWidth="1"/>
    <col min="14" max="14" width="12" style="6" customWidth="1"/>
  </cols>
  <sheetData>
    <row r="1" spans="1:14" ht="17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4" ht="15" customHeight="1" x14ac:dyDescent="0.25">
      <c r="A2" s="7" t="s">
        <v>1</v>
      </c>
      <c r="B2" s="8">
        <v>1043</v>
      </c>
      <c r="C2" s="7" t="s">
        <v>2</v>
      </c>
      <c r="D2" s="8" t="s">
        <v>3</v>
      </c>
    </row>
    <row r="3" spans="1:14" ht="15" customHeight="1" x14ac:dyDescent="0.25">
      <c r="A3" s="7" t="s">
        <v>4</v>
      </c>
      <c r="B3" s="8" t="s">
        <v>5</v>
      </c>
      <c r="C3" s="7" t="s">
        <v>6</v>
      </c>
      <c r="D3" s="8">
        <v>8</v>
      </c>
    </row>
    <row r="4" spans="1:14" ht="15" customHeight="1" x14ac:dyDescent="0.25">
      <c r="A4" s="7" t="s">
        <v>7</v>
      </c>
      <c r="B4" s="8" t="s">
        <v>8</v>
      </c>
      <c r="C4" s="7" t="s">
        <v>9</v>
      </c>
      <c r="D4" s="8">
        <v>1</v>
      </c>
      <c r="M4" s="9"/>
    </row>
    <row r="6" spans="1:14" ht="48" customHeight="1" x14ac:dyDescent="0.25">
      <c r="A6" s="10" t="s">
        <v>10</v>
      </c>
      <c r="B6" s="10" t="s">
        <v>11</v>
      </c>
      <c r="C6" s="10" t="s">
        <v>12</v>
      </c>
      <c r="D6" s="10" t="s">
        <v>13</v>
      </c>
      <c r="E6" s="10" t="s">
        <v>14</v>
      </c>
      <c r="F6" s="10" t="s">
        <v>15</v>
      </c>
      <c r="G6" s="10" t="s">
        <v>16</v>
      </c>
      <c r="H6" s="10" t="s">
        <v>17</v>
      </c>
      <c r="I6" s="10" t="s">
        <v>18</v>
      </c>
      <c r="J6" s="10" t="s">
        <v>19</v>
      </c>
      <c r="K6" s="10" t="s">
        <v>20</v>
      </c>
      <c r="M6" s="11" t="s">
        <v>19</v>
      </c>
    </row>
    <row r="7" spans="1:14" ht="15" customHeight="1" x14ac:dyDescent="0.25">
      <c r="A7" s="12">
        <v>1</v>
      </c>
      <c r="B7" s="12" t="s">
        <v>21</v>
      </c>
      <c r="C7" s="12" t="str">
        <f>VLOOKUP(RIGHT($B7,8),'Các bảng tham chiếu &amp; Thống kê'!$B$14:$C$27,2,0)</f>
        <v>Nguyễn Văn Hiếu</v>
      </c>
      <c r="D7" s="12">
        <f>VLOOKUP(RIGHT($B7,8),'Điểm thực hành các buổi'!$B$3:$F$16,3,0)</f>
        <v>0.45</v>
      </c>
      <c r="E7" s="12">
        <f>VLOOKUP(RIGHT($B7,8),'Điểm thực hành các buổi'!$B$3:$F$16,4,0)</f>
        <v>0.25</v>
      </c>
      <c r="F7" s="12">
        <f>VLOOKUP(RIGHT($B7,8),'Điểm thực hành các buổi'!$B$3:$F$16,5,0)</f>
        <v>0.3</v>
      </c>
      <c r="G7" s="12">
        <f>VLOOKUP(RIGHT($B7,8),'Điểm bài tập lớn'!$B$3:$D$16,3,0)</f>
        <v>0.5</v>
      </c>
      <c r="H7" s="12">
        <f>VLOOKUP(RIGHT($B7,8),'Điểm lý thuyết'!$B$3:$D$16,3,0)</f>
        <v>4.2</v>
      </c>
      <c r="I7" s="13">
        <f t="shared" ref="I7:I20" si="0">ROUND(IF(H7=-3,0,D7+E7+F7+G7+0.6*H7),1)</f>
        <v>4</v>
      </c>
      <c r="J7" s="13">
        <f>IF(OR(G7=0,VALUE(LEFT($B7,1))&gt;2),0,ROUND(I7+VLOOKUP(VALUE(LEFT($B7,1)),'Các bảng tham chiếu &amp; Thống kê'!$E$3:$F$5,2,0),1))</f>
        <v>5</v>
      </c>
      <c r="K7" s="12" t="str">
        <f>VLOOKUP(J7,'Các bảng tham chiếu &amp; Thống kê'!$A$3:$B$10,2,1)</f>
        <v>D+</v>
      </c>
      <c r="M7" s="14" t="s">
        <v>22</v>
      </c>
    </row>
    <row r="8" spans="1:14" ht="15" customHeight="1" x14ac:dyDescent="0.25">
      <c r="A8" s="12">
        <v>2</v>
      </c>
      <c r="B8" s="12" t="s">
        <v>23</v>
      </c>
      <c r="C8" s="12" t="str">
        <f>VLOOKUP(RIGHT($B8,8),'Các bảng tham chiếu &amp; Thống kê'!$B$14:$C$27,2,0)</f>
        <v>Lý Minh Trí</v>
      </c>
      <c r="D8" s="12">
        <f>VLOOKUP(RIGHT($B8,8),'Điểm thực hành các buổi'!$B$3:$F$16,3,0)</f>
        <v>0.5</v>
      </c>
      <c r="E8" s="12">
        <f>VLOOKUP(RIGHT($B8,8),'Điểm thực hành các buổi'!$B$3:$F$16,4,0)</f>
        <v>0.35</v>
      </c>
      <c r="F8" s="12">
        <f>VLOOKUP(RIGHT($B8,8),'Điểm thực hành các buổi'!$B$3:$F$16,5,0)</f>
        <v>0.4</v>
      </c>
      <c r="G8" s="12">
        <f>VLOOKUP(RIGHT($B8,8),'Điểm bài tập lớn'!$B$3:$D$16,3,0)</f>
        <v>1</v>
      </c>
      <c r="H8" s="12">
        <f>VLOOKUP(RIGHT($B8,8),'Điểm lý thuyết'!$B$3:$D$16,3,0)</f>
        <v>5.8</v>
      </c>
      <c r="I8" s="13">
        <f t="shared" si="0"/>
        <v>5.7</v>
      </c>
      <c r="J8" s="13">
        <f>IF(OR(G8=0,VALUE(LEFT($B8,1))&gt;2),0,ROUND(I8+VLOOKUP(VALUE(LEFT($B8,1)),'Các bảng tham chiếu &amp; Thống kê'!$E$3:$F$5,2,0),1))</f>
        <v>6.2</v>
      </c>
      <c r="K8" s="12" t="str">
        <f>VLOOKUP(J8,'Các bảng tham chiếu &amp; Thống kê'!$A$3:$B$10,2,1)</f>
        <v>C</v>
      </c>
    </row>
    <row r="9" spans="1:14" ht="15" customHeight="1" x14ac:dyDescent="0.25">
      <c r="A9" s="12">
        <v>3</v>
      </c>
      <c r="B9" s="12" t="s">
        <v>24</v>
      </c>
      <c r="C9" s="12" t="str">
        <f>VLOOKUP(RIGHT($B9,8),'Các bảng tham chiếu &amp; Thống kê'!$B$14:$C$27,2,0)</f>
        <v>Nguyễn Kiều Mi</v>
      </c>
      <c r="D9" s="12">
        <f>VLOOKUP(RIGHT($B9,8),'Điểm thực hành các buổi'!$B$3:$F$16,3,0)</f>
        <v>0.25</v>
      </c>
      <c r="E9" s="12">
        <f>VLOOKUP(RIGHT($B9,8),'Điểm thực hành các buổi'!$B$3:$F$16,4,0)</f>
        <v>0.25</v>
      </c>
      <c r="F9" s="12">
        <f>VLOOKUP(RIGHT($B9,8),'Điểm thực hành các buổi'!$B$3:$F$16,5,0)</f>
        <v>0.3</v>
      </c>
      <c r="G9" s="12">
        <f>VLOOKUP(RIGHT($B9,8),'Điểm bài tập lớn'!$B$3:$D$16,3,0)</f>
        <v>0.5</v>
      </c>
      <c r="H9" s="12">
        <f>VLOOKUP(RIGHT($B9,8),'Điểm lý thuyết'!$B$3:$D$16,3,0)</f>
        <v>5.8</v>
      </c>
      <c r="I9" s="13">
        <f t="shared" si="0"/>
        <v>4.8</v>
      </c>
      <c r="J9" s="13">
        <f>IF(OR(G9=0,VALUE(LEFT($B9,1))&gt;2),0,ROUND(I9+VLOOKUP(VALUE(LEFT($B9,1)),'Các bảng tham chiếu &amp; Thống kê'!$E$3:$F$5,2,0),1))</f>
        <v>5.8</v>
      </c>
      <c r="K9" s="12" t="str">
        <f>VLOOKUP(J9,'Các bảng tham chiếu &amp; Thống kê'!$A$3:$B$10,2,1)</f>
        <v>C</v>
      </c>
    </row>
    <row r="10" spans="1:14" ht="15" customHeight="1" x14ac:dyDescent="0.25">
      <c r="A10" s="12">
        <v>4</v>
      </c>
      <c r="B10" s="12" t="s">
        <v>25</v>
      </c>
      <c r="C10" s="12" t="str">
        <f>VLOOKUP(RIGHT($B10,8),'Các bảng tham chiếu &amp; Thống kê'!$B$14:$C$27,2,0)</f>
        <v>Đặng Duy Linh</v>
      </c>
      <c r="D10" s="12">
        <f>VLOOKUP(RIGHT($B10,8),'Điểm thực hành các buổi'!$B$3:$F$16,3,0)</f>
        <v>0.4</v>
      </c>
      <c r="E10" s="12">
        <f>VLOOKUP(RIGHT($B10,8),'Điểm thực hành các buổi'!$B$3:$F$16,4,0)</f>
        <v>0.25</v>
      </c>
      <c r="F10" s="12">
        <f>VLOOKUP(RIGHT($B10,8),'Điểm thực hành các buổi'!$B$3:$F$16,5,0)</f>
        <v>0.35</v>
      </c>
      <c r="G10" s="12">
        <f>VLOOKUP(RIGHT($B10,8),'Điểm bài tập lớn'!$B$3:$D$16,3,0)</f>
        <v>1</v>
      </c>
      <c r="H10" s="12">
        <f>VLOOKUP(RIGHT($B10,8),'Điểm lý thuyết'!$B$3:$D$16,3,0)</f>
        <v>4.5</v>
      </c>
      <c r="I10" s="13">
        <f t="shared" si="0"/>
        <v>4.7</v>
      </c>
      <c r="J10" s="13">
        <f>IF(OR(G10=0,VALUE(LEFT($B10,1))&gt;2),0,ROUND(I10+VLOOKUP(VALUE(LEFT($B10,1)),'Các bảng tham chiếu &amp; Thống kê'!$E$3:$F$5,2,0),1))</f>
        <v>5.7</v>
      </c>
      <c r="K10" s="12" t="str">
        <f>VLOOKUP(J10,'Các bảng tham chiếu &amp; Thống kê'!$A$3:$B$10,2,1)</f>
        <v>C</v>
      </c>
      <c r="M10" s="11" t="s">
        <v>19</v>
      </c>
      <c r="N10" s="11" t="s">
        <v>20</v>
      </c>
    </row>
    <row r="11" spans="1:14" ht="15" customHeight="1" x14ac:dyDescent="0.25">
      <c r="A11" s="12">
        <v>5</v>
      </c>
      <c r="B11" s="12" t="s">
        <v>26</v>
      </c>
      <c r="C11" s="12" t="str">
        <f>VLOOKUP(RIGHT($B11,8),'Các bảng tham chiếu &amp; Thống kê'!$B$14:$C$27,2,0)</f>
        <v>Lê Thị Trúc Linh</v>
      </c>
      <c r="D11" s="12">
        <f>VLOOKUP(RIGHT($B11,8),'Điểm thực hành các buổi'!$B$3:$F$16,3,0)</f>
        <v>0.45</v>
      </c>
      <c r="E11" s="12">
        <f>VLOOKUP(RIGHT($B11,8),'Điểm thực hành các buổi'!$B$3:$F$16,4,0)</f>
        <v>0.4</v>
      </c>
      <c r="F11" s="12">
        <f>VLOOKUP(RIGHT($B11,8),'Điểm thực hành các buổi'!$B$3:$F$16,5,0)</f>
        <v>0.35</v>
      </c>
      <c r="G11" s="12">
        <f>VLOOKUP(RIGHT($B11,8),'Điểm bài tập lớn'!$B$3:$D$16,3,0)</f>
        <v>0.75</v>
      </c>
      <c r="H11" s="12">
        <f>VLOOKUP(RIGHT($B11,8),'Điểm lý thuyết'!$B$3:$D$16,3,0)</f>
        <v>5.5</v>
      </c>
      <c r="I11" s="13">
        <f t="shared" si="0"/>
        <v>5.3</v>
      </c>
      <c r="J11" s="13">
        <f>IF(OR(G11=0,VALUE(LEFT($B11,1))&gt;2),0,ROUND(I11+VLOOKUP(VALUE(LEFT($B11,1)),'Các bảng tham chiếu &amp; Thống kê'!$E$3:$F$5,2,0),1))</f>
        <v>5.6</v>
      </c>
      <c r="K11" s="12" t="str">
        <f>VLOOKUP(J11,'Các bảng tham chiếu &amp; Thống kê'!$A$3:$B$10,2,1)</f>
        <v>C</v>
      </c>
      <c r="M11" s="14" t="s">
        <v>27</v>
      </c>
      <c r="N11" s="14" t="s">
        <v>28</v>
      </c>
    </row>
    <row r="12" spans="1:14" ht="15" customHeight="1" x14ac:dyDescent="0.25">
      <c r="A12" s="12">
        <v>6</v>
      </c>
      <c r="B12" s="12" t="s">
        <v>29</v>
      </c>
      <c r="C12" s="12" t="str">
        <f>VLOOKUP(RIGHT($B12,8),'Các bảng tham chiếu &amp; Thống kê'!$B$14:$C$27,2,0)</f>
        <v>Phạm Thị Huỳnh</v>
      </c>
      <c r="D12" s="12">
        <f>VLOOKUP(RIGHT($B12,8),'Điểm thực hành các buổi'!$B$3:$F$16,3,0)</f>
        <v>0.4</v>
      </c>
      <c r="E12" s="12">
        <f>VLOOKUP(RIGHT($B12,8),'Điểm thực hành các buổi'!$B$3:$F$16,4,0)</f>
        <v>0.45</v>
      </c>
      <c r="F12" s="12">
        <f>VLOOKUP(RIGHT($B12,8),'Điểm thực hành các buổi'!$B$3:$F$16,5,0)</f>
        <v>0.5</v>
      </c>
      <c r="G12" s="12">
        <f>VLOOKUP(RIGHT($B12,8),'Điểm bài tập lớn'!$B$3:$D$16,3,0)</f>
        <v>1.2</v>
      </c>
      <c r="H12" s="12">
        <f>VLOOKUP(RIGHT($B12,8),'Điểm lý thuyết'!$B$3:$D$16,3,0)</f>
        <v>7.5</v>
      </c>
      <c r="I12" s="13">
        <f t="shared" si="0"/>
        <v>7.1</v>
      </c>
      <c r="J12" s="13">
        <f>IF(OR(G12=0,VALUE(LEFT($B12,1))&gt;2),0,ROUND(I12+VLOOKUP(VALUE(LEFT($B12,1)),'Các bảng tham chiếu &amp; Thống kê'!$E$3:$F$5,2,0),1))</f>
        <v>8.1</v>
      </c>
      <c r="K12" s="12" t="str">
        <f>VLOOKUP(J12,'Các bảng tham chiếu &amp; Thống kê'!$A$3:$B$10,2,1)</f>
        <v>B+</v>
      </c>
      <c r="M12" s="14" t="s">
        <v>27</v>
      </c>
      <c r="N12" s="14" t="s">
        <v>30</v>
      </c>
    </row>
    <row r="13" spans="1:14" ht="15" customHeight="1" x14ac:dyDescent="0.25">
      <c r="A13" s="12">
        <v>7</v>
      </c>
      <c r="B13" s="12" t="s">
        <v>31</v>
      </c>
      <c r="C13" s="12" t="str">
        <f>VLOOKUP(RIGHT($B13,8),'Các bảng tham chiếu &amp; Thống kê'!$B$14:$C$27,2,0)</f>
        <v>Lê Minh Thông</v>
      </c>
      <c r="D13" s="12">
        <f>VLOOKUP(RIGHT($B13,8),'Điểm thực hành các buổi'!$B$3:$F$16,3,0)</f>
        <v>0.4</v>
      </c>
      <c r="E13" s="12">
        <f>VLOOKUP(RIGHT($B13,8),'Điểm thực hành các buổi'!$B$3:$F$16,4,0)</f>
        <v>0.4</v>
      </c>
      <c r="F13" s="12">
        <f>VLOOKUP(RIGHT($B13,8),'Điểm thực hành các buổi'!$B$3:$F$16,5,0)</f>
        <v>0.4</v>
      </c>
      <c r="G13" s="12">
        <f>VLOOKUP(RIGHT($B13,8),'Điểm bài tập lớn'!$B$3:$D$16,3,0)</f>
        <v>1</v>
      </c>
      <c r="H13" s="12">
        <f>VLOOKUP(RIGHT($B13,8),'Điểm lý thuyết'!$B$3:$D$16,3,0)</f>
        <v>5.3</v>
      </c>
      <c r="I13" s="13">
        <f t="shared" si="0"/>
        <v>5.4</v>
      </c>
      <c r="J13" s="13">
        <f>IF(OR(G13=0,VALUE(LEFT($B13,1))&gt;2),0,ROUND(I13+VLOOKUP(VALUE(LEFT($B13,1)),'Các bảng tham chiếu &amp; Thống kê'!$E$3:$F$5,2,0),1))</f>
        <v>6.4</v>
      </c>
      <c r="K13" s="12" t="str">
        <f>VLOOKUP(J13,'Các bảng tham chiếu &amp; Thống kê'!$A$3:$B$10,2,1)</f>
        <v>C</v>
      </c>
    </row>
    <row r="14" spans="1:14" ht="15" customHeight="1" x14ac:dyDescent="0.25">
      <c r="A14" s="12">
        <v>8</v>
      </c>
      <c r="B14" s="12" t="s">
        <v>32</v>
      </c>
      <c r="C14" s="12" t="str">
        <f>VLOOKUP(RIGHT($B14,8),'Các bảng tham chiếu &amp; Thống kê'!$B$14:$C$27,2,0)</f>
        <v>Huỳnh Thị Diễm</v>
      </c>
      <c r="D14" s="12">
        <f>VLOOKUP(RIGHT($B14,8),'Điểm thực hành các buổi'!$B$3:$F$16,3,0)</f>
        <v>0.45</v>
      </c>
      <c r="E14" s="12">
        <f>VLOOKUP(RIGHT($B14,8),'Điểm thực hành các buổi'!$B$3:$F$16,4,0)</f>
        <v>0.4</v>
      </c>
      <c r="F14" s="12">
        <f>VLOOKUP(RIGHT($B14,8),'Điểm thực hành các buổi'!$B$3:$F$16,5,0)</f>
        <v>0.45</v>
      </c>
      <c r="G14" s="12">
        <f>VLOOKUP(RIGHT($B14,8),'Điểm bài tập lớn'!$B$3:$D$16,3,0)</f>
        <v>0</v>
      </c>
      <c r="H14" s="12">
        <f>VLOOKUP(RIGHT($B14,8),'Điểm lý thuyết'!$B$3:$D$16,3,0)</f>
        <v>6.8</v>
      </c>
      <c r="I14" s="13">
        <f t="shared" si="0"/>
        <v>5.4</v>
      </c>
      <c r="J14" s="13">
        <f>IF(OR(G14=0,VALUE(LEFT($B14,1))&gt;2),0,ROUND(I14+VLOOKUP(VALUE(LEFT($B14,1)),'Các bảng tham chiếu &amp; Thống kê'!$E$3:$F$5,2,0),1))</f>
        <v>0</v>
      </c>
      <c r="K14" s="12" t="str">
        <f>VLOOKUP(J14,'Các bảng tham chiếu &amp; Thống kê'!$A$3:$B$10,2,1)</f>
        <v>F</v>
      </c>
    </row>
    <row r="15" spans="1:14" ht="15" customHeight="1" x14ac:dyDescent="0.25">
      <c r="A15" s="12">
        <v>9</v>
      </c>
      <c r="B15" s="12" t="s">
        <v>33</v>
      </c>
      <c r="C15" s="12" t="str">
        <f>VLOOKUP(RIGHT($B15,8),'Các bảng tham chiếu &amp; Thống kê'!$B$14:$C$27,2,0)</f>
        <v>Trần Thanh Nguyên</v>
      </c>
      <c r="D15" s="12">
        <f>VLOOKUP(RIGHT($B15,8),'Điểm thực hành các buổi'!$B$3:$F$16,3,0)</f>
        <v>0.45</v>
      </c>
      <c r="E15" s="12">
        <f>VLOOKUP(RIGHT($B15,8),'Điểm thực hành các buổi'!$B$3:$F$16,4,0)</f>
        <v>0.4</v>
      </c>
      <c r="F15" s="12">
        <f>VLOOKUP(RIGHT($B15,8),'Điểm thực hành các buổi'!$B$3:$F$16,5,0)</f>
        <v>0.4</v>
      </c>
      <c r="G15" s="12">
        <f>VLOOKUP(RIGHT($B15,8),'Điểm bài tập lớn'!$B$3:$D$16,3,0)</f>
        <v>0.75</v>
      </c>
      <c r="H15" s="12">
        <f>VLOOKUP(RIGHT($B15,8),'Điểm lý thuyết'!$B$3:$D$16,3,0)</f>
        <v>6.3</v>
      </c>
      <c r="I15" s="13">
        <f t="shared" si="0"/>
        <v>5.8</v>
      </c>
      <c r="J15" s="13">
        <f>IF(OR(G15=0,VALUE(LEFT($B15,1))&gt;2),0,ROUND(I15+VLOOKUP(VALUE(LEFT($B15,1)),'Các bảng tham chiếu &amp; Thống kê'!$E$3:$F$5,2,0),1))</f>
        <v>6.8</v>
      </c>
      <c r="K15" s="12" t="str">
        <f>VLOOKUP(J15,'Các bảng tham chiếu &amp; Thống kê'!$A$3:$B$10,2,1)</f>
        <v>C+</v>
      </c>
    </row>
    <row r="16" spans="1:14" ht="15" customHeight="1" x14ac:dyDescent="0.25">
      <c r="A16" s="12">
        <v>10</v>
      </c>
      <c r="B16" s="12" t="s">
        <v>34</v>
      </c>
      <c r="C16" s="12" t="str">
        <f>VLOOKUP(RIGHT($B16,8),'Các bảng tham chiếu &amp; Thống kê'!$B$14:$C$27,2,0)</f>
        <v>Nguyễn Thị Đào</v>
      </c>
      <c r="D16" s="12">
        <f>VLOOKUP(RIGHT($B16,8),'Điểm thực hành các buổi'!$B$3:$F$16,3,0)</f>
        <v>0.3</v>
      </c>
      <c r="E16" s="12">
        <f>VLOOKUP(RIGHT($B16,8),'Điểm thực hành các buổi'!$B$3:$F$16,4,0)</f>
        <v>0.5</v>
      </c>
      <c r="F16" s="12">
        <f>VLOOKUP(RIGHT($B16,8),'Điểm thực hành các buổi'!$B$3:$F$16,5,0)</f>
        <v>0.45</v>
      </c>
      <c r="G16" s="12">
        <f>VLOOKUP(RIGHT($B16,8),'Điểm bài tập lớn'!$B$3:$D$16,3,0)</f>
        <v>0.3</v>
      </c>
      <c r="H16" s="12">
        <f>VLOOKUP(RIGHT($B16,8),'Điểm lý thuyết'!$B$3:$D$16,3,0)</f>
        <v>8.3000000000000007</v>
      </c>
      <c r="I16" s="13">
        <f t="shared" si="0"/>
        <v>6.5</v>
      </c>
      <c r="J16" s="13">
        <f>IF(OR(G16=0,VALUE(LEFT($B16,1))&gt;2),0,ROUND(I16+VLOOKUP(VALUE(LEFT($B16,1)),'Các bảng tham chiếu &amp; Thống kê'!$E$3:$F$5,2,0),1))</f>
        <v>7</v>
      </c>
      <c r="K16" s="12" t="str">
        <f>VLOOKUP(J16,'Các bảng tham chiếu &amp; Thống kê'!$A$3:$B$10,2,1)</f>
        <v>B</v>
      </c>
    </row>
    <row r="17" spans="1:11" ht="15" customHeight="1" x14ac:dyDescent="0.25">
      <c r="A17" s="12">
        <v>11</v>
      </c>
      <c r="B17" s="12" t="s">
        <v>35</v>
      </c>
      <c r="C17" s="12" t="str">
        <f>VLOOKUP(RIGHT($B17,8),'Các bảng tham chiếu &amp; Thống kê'!$B$14:$C$27,2,0)</f>
        <v>Nguyễn Chí Thanh</v>
      </c>
      <c r="D17" s="12">
        <f>VLOOKUP(RIGHT($B17,8),'Điểm thực hành các buổi'!$B$3:$F$16,3,0)</f>
        <v>0.4</v>
      </c>
      <c r="E17" s="12">
        <f>VLOOKUP(RIGHT($B17,8),'Điểm thực hành các buổi'!$B$3:$F$16,4,0)</f>
        <v>0.45</v>
      </c>
      <c r="F17" s="12">
        <f>VLOOKUP(RIGHT($B17,8),'Điểm thực hành các buổi'!$B$3:$F$16,5,0)</f>
        <v>0.4</v>
      </c>
      <c r="G17" s="12">
        <f>VLOOKUP(RIGHT($B17,8),'Điểm bài tập lớn'!$B$3:$D$16,3,0)</f>
        <v>0.3</v>
      </c>
      <c r="H17" s="12">
        <f>VLOOKUP(RIGHT($B17,8),'Điểm lý thuyết'!$B$3:$D$16,3,0)</f>
        <v>-3</v>
      </c>
      <c r="I17" s="13">
        <f t="shared" si="0"/>
        <v>0</v>
      </c>
      <c r="J17" s="13">
        <f>IF(OR(G17=0,VALUE(LEFT($B17,1))&gt;2),0,ROUND(I17+VLOOKUP(VALUE(LEFT($B17,1)),'Các bảng tham chiếu &amp; Thống kê'!$E$3:$F$5,2,0),1))</f>
        <v>0</v>
      </c>
      <c r="K17" s="12" t="str">
        <f>VLOOKUP(J17,'Các bảng tham chiếu &amp; Thống kê'!$A$3:$B$10,2,1)</f>
        <v>F</v>
      </c>
    </row>
    <row r="18" spans="1:11" ht="15" customHeight="1" x14ac:dyDescent="0.25">
      <c r="A18" s="12">
        <v>12</v>
      </c>
      <c r="B18" s="12" t="s">
        <v>36</v>
      </c>
      <c r="C18" s="12" t="str">
        <f>VLOOKUP(RIGHT($B18,8),'Các bảng tham chiếu &amp; Thống kê'!$B$14:$C$27,2,0)</f>
        <v>Nguyễn Hải Anh</v>
      </c>
      <c r="D18" s="12">
        <f>VLOOKUP(RIGHT($B18,8),'Điểm thực hành các buổi'!$B$3:$F$16,3,0)</f>
        <v>0.5</v>
      </c>
      <c r="E18" s="12">
        <f>VLOOKUP(RIGHT($B18,8),'Điểm thực hành các buổi'!$B$3:$F$16,4,0)</f>
        <v>0.5</v>
      </c>
      <c r="F18" s="12">
        <f>VLOOKUP(RIGHT($B18,8),'Điểm thực hành các buổi'!$B$3:$F$16,5,0)</f>
        <v>0.45</v>
      </c>
      <c r="G18" s="12">
        <f>VLOOKUP(RIGHT($B18,8),'Điểm bài tập lớn'!$B$3:$D$16,3,0)</f>
        <v>1.5</v>
      </c>
      <c r="H18" s="12">
        <f>VLOOKUP(RIGHT($B18,8),'Điểm lý thuyết'!$B$3:$D$16,3,0)</f>
        <v>7</v>
      </c>
      <c r="I18" s="13">
        <f t="shared" si="0"/>
        <v>7.2</v>
      </c>
      <c r="J18" s="13">
        <f>IF(OR(G18=0,VALUE(LEFT($B18,1))&gt;2),0,ROUND(I18+VLOOKUP(VALUE(LEFT($B18,1)),'Các bảng tham chiếu &amp; Thống kê'!$E$3:$F$5,2,0),1))</f>
        <v>7.5</v>
      </c>
      <c r="K18" s="12" t="str">
        <f>VLOOKUP(J18,'Các bảng tham chiếu &amp; Thống kê'!$A$3:$B$10,2,1)</f>
        <v>B</v>
      </c>
    </row>
    <row r="19" spans="1:11" ht="15" customHeight="1" x14ac:dyDescent="0.25">
      <c r="A19" s="12">
        <v>13</v>
      </c>
      <c r="B19" s="12" t="s">
        <v>37</v>
      </c>
      <c r="C19" s="12" t="str">
        <f>VLOOKUP(RIGHT($B19,8),'Các bảng tham chiếu &amp; Thống kê'!$B$14:$C$27,2,0)</f>
        <v>Trần Nam Dương</v>
      </c>
      <c r="D19" s="12">
        <f>VLOOKUP(RIGHT($B19,8),'Điểm thực hành các buổi'!$B$3:$F$16,3,0)</f>
        <v>0.4</v>
      </c>
      <c r="E19" s="12">
        <f>VLOOKUP(RIGHT($B19,8),'Điểm thực hành các buổi'!$B$3:$F$16,4,0)</f>
        <v>0.4</v>
      </c>
      <c r="F19" s="12">
        <f>VLOOKUP(RIGHT($B19,8),'Điểm thực hành các buổi'!$B$3:$F$16,5,0)</f>
        <v>0.35</v>
      </c>
      <c r="G19" s="12">
        <f>VLOOKUP(RIGHT($B19,8),'Điểm bài tập lớn'!$B$3:$D$16,3,0)</f>
        <v>1.35</v>
      </c>
      <c r="H19" s="12">
        <f>VLOOKUP(RIGHT($B19,8),'Điểm lý thuyết'!$B$3:$D$16,3,0)</f>
        <v>-3</v>
      </c>
      <c r="I19" s="13">
        <f t="shared" si="0"/>
        <v>0</v>
      </c>
      <c r="J19" s="13">
        <f>IF(OR(G19=0,VALUE(LEFT($B19,1))&gt;2),0,ROUND(I19+VLOOKUP(VALUE(LEFT($B19,1)),'Các bảng tham chiếu &amp; Thống kê'!$E$3:$F$5,2,0),1))</f>
        <v>0</v>
      </c>
      <c r="K19" s="12" t="str">
        <f>VLOOKUP(J19,'Các bảng tham chiếu &amp; Thống kê'!$A$3:$B$10,2,1)</f>
        <v>F</v>
      </c>
    </row>
    <row r="20" spans="1:11" ht="15" customHeight="1" x14ac:dyDescent="0.25">
      <c r="A20" s="12">
        <v>14</v>
      </c>
      <c r="B20" s="12" t="s">
        <v>38</v>
      </c>
      <c r="C20" s="12" t="str">
        <f>VLOOKUP(RIGHT($B20,8),'Các bảng tham chiếu &amp; Thống kê'!$B$14:$C$27,2,0)</f>
        <v>Nguyễn Duy Khanh</v>
      </c>
      <c r="D20" s="12">
        <f>VLOOKUP(RIGHT($B20,8),'Điểm thực hành các buổi'!$B$3:$F$16,3,0)</f>
        <v>0.35</v>
      </c>
      <c r="E20" s="12">
        <f>VLOOKUP(RIGHT($B20,8),'Điểm thực hành các buổi'!$B$3:$F$16,4,0)</f>
        <v>0.4</v>
      </c>
      <c r="F20" s="12">
        <f>VLOOKUP(RIGHT($B20,8),'Điểm thực hành các buổi'!$B$3:$F$16,5,0)</f>
        <v>0</v>
      </c>
      <c r="G20" s="12">
        <f>VLOOKUP(RIGHT($B20,8),'Điểm bài tập lớn'!$B$3:$D$16,3,0)</f>
        <v>0.85</v>
      </c>
      <c r="H20" s="12">
        <f>VLOOKUP(RIGHT($B20,8),'Điểm lý thuyết'!$B$3:$D$16,3,0)</f>
        <v>6.5</v>
      </c>
      <c r="I20" s="13">
        <f t="shared" si="0"/>
        <v>5.5</v>
      </c>
      <c r="J20" s="13">
        <f>IF(OR(G20=0,VALUE(LEFT($B20,1))&gt;2),0,ROUND(I20+VLOOKUP(VALUE(LEFT($B20,1)),'Các bảng tham chiếu &amp; Thống kê'!$E$3:$F$5,2,0),1))</f>
        <v>6.5</v>
      </c>
      <c r="K20" s="12" t="str">
        <f>VLOOKUP(J20,'Các bảng tham chiếu &amp; Thống kê'!$A$3:$B$10,2,1)</f>
        <v>C+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zoomScaleNormal="100" workbookViewId="0">
      <selection activeCell="C2" sqref="C2"/>
    </sheetView>
  </sheetViews>
  <sheetFormatPr defaultColWidth="8.7109375" defaultRowHeight="15" x14ac:dyDescent="0.25"/>
  <cols>
    <col min="1" max="1" width="6" style="6" customWidth="1"/>
    <col min="2" max="2" width="12" style="6" customWidth="1"/>
    <col min="3" max="3" width="22" style="6" customWidth="1"/>
    <col min="4" max="6" width="10" style="6" customWidth="1"/>
  </cols>
  <sheetData>
    <row r="1" spans="1:6" ht="15.75" customHeight="1" x14ac:dyDescent="0.25">
      <c r="A1" s="4" t="s">
        <v>39</v>
      </c>
      <c r="B1" s="4"/>
      <c r="C1" s="4"/>
      <c r="D1" s="4"/>
      <c r="E1" s="4"/>
      <c r="F1" s="4"/>
    </row>
    <row r="2" spans="1:6" ht="30" customHeight="1" x14ac:dyDescent="0.25">
      <c r="A2" s="10" t="s">
        <v>10</v>
      </c>
      <c r="B2" s="10" t="s">
        <v>11</v>
      </c>
      <c r="C2" s="10" t="s">
        <v>40</v>
      </c>
      <c r="D2" s="10" t="s">
        <v>13</v>
      </c>
      <c r="E2" s="10" t="s">
        <v>14</v>
      </c>
      <c r="F2" s="10" t="s">
        <v>15</v>
      </c>
    </row>
    <row r="3" spans="1:6" ht="15" customHeight="1" x14ac:dyDescent="0.25">
      <c r="A3" s="12">
        <v>1</v>
      </c>
      <c r="B3" s="12" t="s">
        <v>41</v>
      </c>
      <c r="C3" s="15" t="s">
        <v>42</v>
      </c>
      <c r="D3" s="12">
        <v>0.45</v>
      </c>
      <c r="E3" s="12">
        <v>0.25</v>
      </c>
      <c r="F3" s="12">
        <v>0.3</v>
      </c>
    </row>
    <row r="4" spans="1:6" ht="15" customHeight="1" x14ac:dyDescent="0.25">
      <c r="A4" s="12">
        <v>2</v>
      </c>
      <c r="B4" s="12" t="s">
        <v>43</v>
      </c>
      <c r="C4" s="15" t="s">
        <v>44</v>
      </c>
      <c r="D4" s="12">
        <v>0.5</v>
      </c>
      <c r="E4" s="12">
        <v>0.35</v>
      </c>
      <c r="F4" s="12">
        <v>0.4</v>
      </c>
    </row>
    <row r="5" spans="1:6" ht="15" customHeight="1" x14ac:dyDescent="0.25">
      <c r="A5" s="12">
        <v>3</v>
      </c>
      <c r="B5" s="12" t="s">
        <v>45</v>
      </c>
      <c r="C5" s="15" t="s">
        <v>46</v>
      </c>
      <c r="D5" s="12">
        <v>0.25</v>
      </c>
      <c r="E5" s="12">
        <v>0.25</v>
      </c>
      <c r="F5" s="12">
        <v>0.3</v>
      </c>
    </row>
    <row r="6" spans="1:6" ht="15" customHeight="1" x14ac:dyDescent="0.25">
      <c r="A6" s="12">
        <v>4</v>
      </c>
      <c r="B6" s="12" t="s">
        <v>47</v>
      </c>
      <c r="C6" s="15" t="s">
        <v>48</v>
      </c>
      <c r="D6" s="12">
        <v>0.4</v>
      </c>
      <c r="E6" s="12">
        <v>0.25</v>
      </c>
      <c r="F6" s="12">
        <v>0.35</v>
      </c>
    </row>
    <row r="7" spans="1:6" ht="15" customHeight="1" x14ac:dyDescent="0.25">
      <c r="A7" s="12">
        <v>5</v>
      </c>
      <c r="B7" s="12" t="s">
        <v>49</v>
      </c>
      <c r="C7" s="15" t="s">
        <v>50</v>
      </c>
      <c r="D7" s="12">
        <v>0.45</v>
      </c>
      <c r="E7" s="12">
        <v>0.4</v>
      </c>
      <c r="F7" s="12">
        <v>0.35</v>
      </c>
    </row>
    <row r="8" spans="1:6" ht="15" customHeight="1" x14ac:dyDescent="0.25">
      <c r="A8" s="12">
        <v>6</v>
      </c>
      <c r="B8" s="12" t="s">
        <v>51</v>
      </c>
      <c r="C8" s="15" t="s">
        <v>52</v>
      </c>
      <c r="D8" s="12">
        <v>0.4</v>
      </c>
      <c r="E8" s="12">
        <v>0.45</v>
      </c>
      <c r="F8" s="12">
        <v>0.5</v>
      </c>
    </row>
    <row r="9" spans="1:6" ht="15" customHeight="1" x14ac:dyDescent="0.25">
      <c r="A9" s="12">
        <v>7</v>
      </c>
      <c r="B9" s="12" t="s">
        <v>53</v>
      </c>
      <c r="C9" s="15" t="s">
        <v>54</v>
      </c>
      <c r="D9" s="12">
        <v>0.4</v>
      </c>
      <c r="E9" s="12">
        <v>0.4</v>
      </c>
      <c r="F9" s="12">
        <v>0.4</v>
      </c>
    </row>
    <row r="10" spans="1:6" ht="15" customHeight="1" x14ac:dyDescent="0.25">
      <c r="A10" s="12">
        <v>8</v>
      </c>
      <c r="B10" s="12" t="s">
        <v>55</v>
      </c>
      <c r="C10" s="15" t="s">
        <v>56</v>
      </c>
      <c r="D10" s="12">
        <v>0.45</v>
      </c>
      <c r="E10" s="12">
        <v>0.4</v>
      </c>
      <c r="F10" s="12">
        <v>0.45</v>
      </c>
    </row>
    <row r="11" spans="1:6" ht="15" customHeight="1" x14ac:dyDescent="0.25">
      <c r="A11" s="12">
        <v>9</v>
      </c>
      <c r="B11" s="12" t="s">
        <v>57</v>
      </c>
      <c r="C11" s="15" t="s">
        <v>58</v>
      </c>
      <c r="D11" s="12">
        <v>0.45</v>
      </c>
      <c r="E11" s="12">
        <v>0.4</v>
      </c>
      <c r="F11" s="12">
        <v>0.4</v>
      </c>
    </row>
    <row r="12" spans="1:6" ht="15" customHeight="1" x14ac:dyDescent="0.25">
      <c r="A12" s="12">
        <v>10</v>
      </c>
      <c r="B12" s="12" t="s">
        <v>59</v>
      </c>
      <c r="C12" s="15" t="s">
        <v>60</v>
      </c>
      <c r="D12" s="12">
        <v>0.3</v>
      </c>
      <c r="E12" s="12">
        <v>0.5</v>
      </c>
      <c r="F12" s="12">
        <v>0.45</v>
      </c>
    </row>
    <row r="13" spans="1:6" ht="15" customHeight="1" x14ac:dyDescent="0.25">
      <c r="A13" s="12">
        <v>11</v>
      </c>
      <c r="B13" s="12" t="s">
        <v>61</v>
      </c>
      <c r="C13" s="15" t="s">
        <v>62</v>
      </c>
      <c r="D13" s="12">
        <v>0.4</v>
      </c>
      <c r="E13" s="12">
        <v>0.45</v>
      </c>
      <c r="F13" s="12">
        <v>0.4</v>
      </c>
    </row>
    <row r="14" spans="1:6" ht="15" customHeight="1" x14ac:dyDescent="0.25">
      <c r="A14" s="12">
        <v>12</v>
      </c>
      <c r="B14" s="12" t="s">
        <v>63</v>
      </c>
      <c r="C14" s="15" t="s">
        <v>64</v>
      </c>
      <c r="D14" s="12">
        <v>0.5</v>
      </c>
      <c r="E14" s="12">
        <v>0.5</v>
      </c>
      <c r="F14" s="12">
        <v>0.45</v>
      </c>
    </row>
    <row r="15" spans="1:6" ht="15" customHeight="1" x14ac:dyDescent="0.25">
      <c r="A15" s="12">
        <v>13</v>
      </c>
      <c r="B15" s="12" t="s">
        <v>65</v>
      </c>
      <c r="C15" s="15" t="s">
        <v>66</v>
      </c>
      <c r="D15" s="12">
        <v>0.4</v>
      </c>
      <c r="E15" s="12">
        <v>0.4</v>
      </c>
      <c r="F15" s="12">
        <v>0.35</v>
      </c>
    </row>
    <row r="16" spans="1:6" ht="15" customHeight="1" x14ac:dyDescent="0.25">
      <c r="A16" s="12">
        <v>14</v>
      </c>
      <c r="B16" s="12" t="s">
        <v>67</v>
      </c>
      <c r="C16" s="15" t="s">
        <v>68</v>
      </c>
      <c r="D16" s="12">
        <v>0.35</v>
      </c>
      <c r="E16" s="12">
        <v>0.4</v>
      </c>
      <c r="F16" s="12"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zoomScaleNormal="100" workbookViewId="0">
      <selection activeCell="C4" sqref="C4"/>
    </sheetView>
  </sheetViews>
  <sheetFormatPr defaultColWidth="8.7109375" defaultRowHeight="15" x14ac:dyDescent="0.25"/>
  <cols>
    <col min="1" max="1" width="6" style="6" customWidth="1"/>
    <col min="2" max="2" width="12" style="6" customWidth="1"/>
    <col min="3" max="3" width="22" style="6" customWidth="1"/>
    <col min="4" max="4" width="12" style="6" customWidth="1"/>
  </cols>
  <sheetData>
    <row r="1" spans="1:4" ht="15.75" customHeight="1" x14ac:dyDescent="0.25">
      <c r="A1" s="4" t="s">
        <v>69</v>
      </c>
      <c r="B1" s="4"/>
      <c r="C1" s="4"/>
      <c r="D1" s="4"/>
    </row>
    <row r="2" spans="1:4" ht="30" customHeight="1" x14ac:dyDescent="0.25">
      <c r="A2" s="10" t="s">
        <v>10</v>
      </c>
      <c r="B2" s="10" t="s">
        <v>11</v>
      </c>
      <c r="C2" s="10" t="s">
        <v>40</v>
      </c>
      <c r="D2" s="10" t="s">
        <v>16</v>
      </c>
    </row>
    <row r="3" spans="1:4" ht="15" customHeight="1" x14ac:dyDescent="0.25">
      <c r="A3" s="12">
        <v>1</v>
      </c>
      <c r="B3" s="12" t="s">
        <v>41</v>
      </c>
      <c r="C3" s="15" t="s">
        <v>42</v>
      </c>
      <c r="D3" s="12">
        <v>0.5</v>
      </c>
    </row>
    <row r="4" spans="1:4" ht="15" customHeight="1" x14ac:dyDescent="0.25">
      <c r="A4" s="12">
        <v>2</v>
      </c>
      <c r="B4" s="12" t="s">
        <v>43</v>
      </c>
      <c r="C4" s="15" t="s">
        <v>44</v>
      </c>
      <c r="D4" s="12">
        <v>1</v>
      </c>
    </row>
    <row r="5" spans="1:4" ht="15" customHeight="1" x14ac:dyDescent="0.25">
      <c r="A5" s="12">
        <v>3</v>
      </c>
      <c r="B5" s="12" t="s">
        <v>45</v>
      </c>
      <c r="C5" s="15" t="s">
        <v>46</v>
      </c>
      <c r="D5" s="12">
        <v>0.5</v>
      </c>
    </row>
    <row r="6" spans="1:4" ht="15" customHeight="1" x14ac:dyDescent="0.25">
      <c r="A6" s="12">
        <v>4</v>
      </c>
      <c r="B6" s="12" t="s">
        <v>47</v>
      </c>
      <c r="C6" s="15" t="s">
        <v>48</v>
      </c>
      <c r="D6" s="12">
        <v>1</v>
      </c>
    </row>
    <row r="7" spans="1:4" ht="15" customHeight="1" x14ac:dyDescent="0.25">
      <c r="A7" s="12">
        <v>5</v>
      </c>
      <c r="B7" s="12" t="s">
        <v>49</v>
      </c>
      <c r="C7" s="15" t="s">
        <v>50</v>
      </c>
      <c r="D7" s="12">
        <v>0.75</v>
      </c>
    </row>
    <row r="8" spans="1:4" ht="15" customHeight="1" x14ac:dyDescent="0.25">
      <c r="A8" s="12">
        <v>6</v>
      </c>
      <c r="B8" s="12" t="s">
        <v>51</v>
      </c>
      <c r="C8" s="15" t="s">
        <v>52</v>
      </c>
      <c r="D8" s="12">
        <v>1.2</v>
      </c>
    </row>
    <row r="9" spans="1:4" ht="15" customHeight="1" x14ac:dyDescent="0.25">
      <c r="A9" s="12">
        <v>7</v>
      </c>
      <c r="B9" s="12" t="s">
        <v>53</v>
      </c>
      <c r="C9" s="15" t="s">
        <v>54</v>
      </c>
      <c r="D9" s="12">
        <v>1</v>
      </c>
    </row>
    <row r="10" spans="1:4" ht="15" customHeight="1" x14ac:dyDescent="0.25">
      <c r="A10" s="12">
        <v>8</v>
      </c>
      <c r="B10" s="12" t="s">
        <v>55</v>
      </c>
      <c r="C10" s="15" t="s">
        <v>56</v>
      </c>
      <c r="D10" s="12">
        <v>0</v>
      </c>
    </row>
    <row r="11" spans="1:4" ht="15" customHeight="1" x14ac:dyDescent="0.25">
      <c r="A11" s="12">
        <v>9</v>
      </c>
      <c r="B11" s="12" t="s">
        <v>57</v>
      </c>
      <c r="C11" s="15" t="s">
        <v>58</v>
      </c>
      <c r="D11" s="12">
        <v>0.75</v>
      </c>
    </row>
    <row r="12" spans="1:4" ht="15" customHeight="1" x14ac:dyDescent="0.25">
      <c r="A12" s="12">
        <v>10</v>
      </c>
      <c r="B12" s="12" t="s">
        <v>59</v>
      </c>
      <c r="C12" s="15" t="s">
        <v>60</v>
      </c>
      <c r="D12" s="12">
        <v>0.3</v>
      </c>
    </row>
    <row r="13" spans="1:4" ht="15" customHeight="1" x14ac:dyDescent="0.25">
      <c r="A13" s="12">
        <v>11</v>
      </c>
      <c r="B13" s="12" t="s">
        <v>61</v>
      </c>
      <c r="C13" s="15" t="s">
        <v>62</v>
      </c>
      <c r="D13" s="12">
        <v>0.3</v>
      </c>
    </row>
    <row r="14" spans="1:4" ht="15" customHeight="1" x14ac:dyDescent="0.25">
      <c r="A14" s="12">
        <v>12</v>
      </c>
      <c r="B14" s="12" t="s">
        <v>63</v>
      </c>
      <c r="C14" s="15" t="s">
        <v>64</v>
      </c>
      <c r="D14" s="12">
        <v>1.5</v>
      </c>
    </row>
    <row r="15" spans="1:4" ht="15" customHeight="1" x14ac:dyDescent="0.25">
      <c r="A15" s="12">
        <v>13</v>
      </c>
      <c r="B15" s="12" t="s">
        <v>65</v>
      </c>
      <c r="C15" s="15" t="s">
        <v>66</v>
      </c>
      <c r="D15" s="12">
        <v>1.35</v>
      </c>
    </row>
    <row r="16" spans="1:4" ht="15" customHeight="1" x14ac:dyDescent="0.25">
      <c r="A16" s="12">
        <v>14</v>
      </c>
      <c r="B16" s="12" t="s">
        <v>67</v>
      </c>
      <c r="C16" s="15" t="s">
        <v>68</v>
      </c>
      <c r="D16" s="12">
        <v>0.85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opLeftCell="A10" zoomScaleNormal="100" workbookViewId="0">
      <selection activeCell="B3" sqref="B3"/>
    </sheetView>
  </sheetViews>
  <sheetFormatPr defaultColWidth="8.7109375" defaultRowHeight="15" x14ac:dyDescent="0.25"/>
  <cols>
    <col min="1" max="1" width="6" style="6" customWidth="1"/>
    <col min="2" max="2" width="12" style="6" customWidth="1"/>
    <col min="3" max="3" width="22" style="6" customWidth="1"/>
    <col min="4" max="4" width="13" style="6" customWidth="1"/>
  </cols>
  <sheetData>
    <row r="1" spans="1:4" ht="15.75" customHeight="1" x14ac:dyDescent="0.25">
      <c r="A1" s="4" t="s">
        <v>70</v>
      </c>
      <c r="B1" s="4"/>
      <c r="C1" s="4"/>
      <c r="D1" s="4"/>
    </row>
    <row r="2" spans="1:4" ht="30" customHeight="1" x14ac:dyDescent="0.25">
      <c r="A2" s="10" t="s">
        <v>10</v>
      </c>
      <c r="B2" s="10" t="s">
        <v>11</v>
      </c>
      <c r="C2" s="10" t="s">
        <v>12</v>
      </c>
      <c r="D2" s="10" t="s">
        <v>70</v>
      </c>
    </row>
    <row r="3" spans="1:4" ht="15" customHeight="1" x14ac:dyDescent="0.25">
      <c r="A3" s="12">
        <v>1</v>
      </c>
      <c r="B3" s="12" t="s">
        <v>41</v>
      </c>
      <c r="C3" s="15" t="s">
        <v>42</v>
      </c>
      <c r="D3" s="12">
        <v>4.2</v>
      </c>
    </row>
    <row r="4" spans="1:4" ht="15" customHeight="1" x14ac:dyDescent="0.25">
      <c r="A4" s="12">
        <v>2</v>
      </c>
      <c r="B4" s="12" t="s">
        <v>43</v>
      </c>
      <c r="C4" s="15" t="s">
        <v>44</v>
      </c>
      <c r="D4" s="12">
        <v>5.8</v>
      </c>
    </row>
    <row r="5" spans="1:4" ht="15" customHeight="1" x14ac:dyDescent="0.25">
      <c r="A5" s="12">
        <v>3</v>
      </c>
      <c r="B5" s="12" t="s">
        <v>45</v>
      </c>
      <c r="C5" s="15" t="s">
        <v>46</v>
      </c>
      <c r="D5" s="12">
        <v>5.8</v>
      </c>
    </row>
    <row r="6" spans="1:4" ht="15" customHeight="1" x14ac:dyDescent="0.25">
      <c r="A6" s="12">
        <v>4</v>
      </c>
      <c r="B6" s="12" t="s">
        <v>47</v>
      </c>
      <c r="C6" s="15" t="s">
        <v>48</v>
      </c>
      <c r="D6" s="12">
        <v>4.5</v>
      </c>
    </row>
    <row r="7" spans="1:4" ht="15" customHeight="1" x14ac:dyDescent="0.25">
      <c r="A7" s="12">
        <v>5</v>
      </c>
      <c r="B7" s="12" t="s">
        <v>49</v>
      </c>
      <c r="C7" s="15" t="s">
        <v>50</v>
      </c>
      <c r="D7" s="12">
        <v>5.5</v>
      </c>
    </row>
    <row r="8" spans="1:4" ht="15" customHeight="1" x14ac:dyDescent="0.25">
      <c r="A8" s="12">
        <v>6</v>
      </c>
      <c r="B8" s="12" t="s">
        <v>51</v>
      </c>
      <c r="C8" s="15" t="s">
        <v>52</v>
      </c>
      <c r="D8" s="12">
        <v>7.5</v>
      </c>
    </row>
    <row r="9" spans="1:4" ht="15" customHeight="1" x14ac:dyDescent="0.25">
      <c r="A9" s="12">
        <v>7</v>
      </c>
      <c r="B9" s="12" t="s">
        <v>53</v>
      </c>
      <c r="C9" s="15" t="s">
        <v>54</v>
      </c>
      <c r="D9" s="12">
        <v>5.3</v>
      </c>
    </row>
    <row r="10" spans="1:4" ht="15" customHeight="1" x14ac:dyDescent="0.25">
      <c r="A10" s="12">
        <v>8</v>
      </c>
      <c r="B10" s="12" t="s">
        <v>55</v>
      </c>
      <c r="C10" s="15" t="s">
        <v>56</v>
      </c>
      <c r="D10" s="12">
        <v>6.8</v>
      </c>
    </row>
    <row r="11" spans="1:4" ht="15" customHeight="1" x14ac:dyDescent="0.25">
      <c r="A11" s="12">
        <v>9</v>
      </c>
      <c r="B11" s="12" t="s">
        <v>57</v>
      </c>
      <c r="C11" s="15" t="s">
        <v>58</v>
      </c>
      <c r="D11" s="12">
        <v>6.3</v>
      </c>
    </row>
    <row r="12" spans="1:4" ht="15" customHeight="1" x14ac:dyDescent="0.25">
      <c r="A12" s="12">
        <v>10</v>
      </c>
      <c r="B12" s="12" t="s">
        <v>59</v>
      </c>
      <c r="C12" s="15" t="s">
        <v>60</v>
      </c>
      <c r="D12" s="12">
        <v>8.3000000000000007</v>
      </c>
    </row>
    <row r="13" spans="1:4" ht="15" customHeight="1" x14ac:dyDescent="0.25">
      <c r="A13" s="12">
        <v>11</v>
      </c>
      <c r="B13" s="12" t="s">
        <v>61</v>
      </c>
      <c r="C13" s="15" t="s">
        <v>62</v>
      </c>
      <c r="D13" s="12">
        <v>-3</v>
      </c>
    </row>
    <row r="14" spans="1:4" ht="15" customHeight="1" x14ac:dyDescent="0.25">
      <c r="A14" s="12">
        <v>12</v>
      </c>
      <c r="B14" s="12" t="s">
        <v>63</v>
      </c>
      <c r="C14" s="15" t="s">
        <v>64</v>
      </c>
      <c r="D14" s="12">
        <v>7</v>
      </c>
    </row>
    <row r="15" spans="1:4" ht="15" customHeight="1" x14ac:dyDescent="0.25">
      <c r="A15" s="12">
        <v>13</v>
      </c>
      <c r="B15" s="12" t="s">
        <v>65</v>
      </c>
      <c r="C15" s="15" t="s">
        <v>66</v>
      </c>
      <c r="D15" s="12">
        <v>-3</v>
      </c>
    </row>
    <row r="16" spans="1:4" ht="15" customHeight="1" x14ac:dyDescent="0.25">
      <c r="A16" s="12">
        <v>14</v>
      </c>
      <c r="B16" s="12" t="s">
        <v>67</v>
      </c>
      <c r="C16" s="15" t="s">
        <v>68</v>
      </c>
      <c r="D16" s="12">
        <v>6.5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zoomScaleNormal="100" workbookViewId="0">
      <selection activeCell="C22" sqref="C22"/>
    </sheetView>
  </sheetViews>
  <sheetFormatPr defaultColWidth="8.7109375" defaultRowHeight="15" x14ac:dyDescent="0.25"/>
  <cols>
    <col min="1" max="1" width="22" style="6" customWidth="1"/>
    <col min="2" max="2" width="13" style="6" customWidth="1"/>
    <col min="3" max="3" width="24" style="6" customWidth="1"/>
    <col min="4" max="4" width="3" style="6" customWidth="1"/>
    <col min="5" max="5" width="24" style="6" customWidth="1"/>
    <col min="6" max="6" width="16" style="6" customWidth="1"/>
  </cols>
  <sheetData>
    <row r="1" spans="1:6" ht="15" customHeight="1" x14ac:dyDescent="0.25">
      <c r="A1" s="3" t="s">
        <v>71</v>
      </c>
      <c r="B1" s="3"/>
      <c r="C1" s="3"/>
      <c r="E1" s="3" t="s">
        <v>72</v>
      </c>
      <c r="F1" s="3"/>
    </row>
    <row r="2" spans="1:6" ht="45" customHeight="1" x14ac:dyDescent="0.25">
      <c r="A2" s="10" t="s">
        <v>19</v>
      </c>
      <c r="B2" s="10" t="s">
        <v>20</v>
      </c>
      <c r="C2" s="10" t="s">
        <v>73</v>
      </c>
      <c r="E2" s="10" t="s">
        <v>74</v>
      </c>
      <c r="F2" s="10" t="s">
        <v>75</v>
      </c>
    </row>
    <row r="3" spans="1:6" ht="15" customHeight="1" x14ac:dyDescent="0.25">
      <c r="A3" s="12">
        <v>0</v>
      </c>
      <c r="B3" s="12" t="s">
        <v>76</v>
      </c>
      <c r="C3" s="12">
        <v>0</v>
      </c>
      <c r="E3" s="12">
        <v>0</v>
      </c>
      <c r="F3" s="12">
        <v>1</v>
      </c>
    </row>
    <row r="4" spans="1:6" ht="15" customHeight="1" x14ac:dyDescent="0.25">
      <c r="A4" s="12">
        <v>4</v>
      </c>
      <c r="B4" s="12" t="s">
        <v>77</v>
      </c>
      <c r="C4" s="12">
        <v>1</v>
      </c>
      <c r="E4" s="12">
        <v>1</v>
      </c>
      <c r="F4" s="12">
        <v>0.5</v>
      </c>
    </row>
    <row r="5" spans="1:6" ht="15" customHeight="1" x14ac:dyDescent="0.25">
      <c r="A5" s="12">
        <v>5</v>
      </c>
      <c r="B5" s="12" t="s">
        <v>78</v>
      </c>
      <c r="C5" s="12">
        <v>1.5</v>
      </c>
      <c r="E5" s="12">
        <v>2</v>
      </c>
      <c r="F5" s="12">
        <v>0.25</v>
      </c>
    </row>
    <row r="6" spans="1:6" ht="15" customHeight="1" x14ac:dyDescent="0.25">
      <c r="A6" s="12">
        <v>5.5</v>
      </c>
      <c r="B6" s="12" t="s">
        <v>79</v>
      </c>
      <c r="C6" s="12">
        <v>2</v>
      </c>
    </row>
    <row r="7" spans="1:6" ht="15" customHeight="1" x14ac:dyDescent="0.25">
      <c r="A7" s="12">
        <v>6.5</v>
      </c>
      <c r="B7" s="12" t="s">
        <v>80</v>
      </c>
      <c r="C7" s="12">
        <v>2.5</v>
      </c>
    </row>
    <row r="8" spans="1:6" ht="15" customHeight="1" x14ac:dyDescent="0.25">
      <c r="A8" s="12">
        <v>7</v>
      </c>
      <c r="B8" s="12" t="s">
        <v>81</v>
      </c>
      <c r="C8" s="12">
        <v>3</v>
      </c>
    </row>
    <row r="9" spans="1:6" ht="15" customHeight="1" x14ac:dyDescent="0.25">
      <c r="A9" s="12">
        <v>8</v>
      </c>
      <c r="B9" s="12" t="s">
        <v>28</v>
      </c>
      <c r="C9" s="12">
        <v>3.5</v>
      </c>
    </row>
    <row r="10" spans="1:6" ht="15" customHeight="1" x14ac:dyDescent="0.25">
      <c r="A10" s="12">
        <v>9</v>
      </c>
      <c r="B10" s="12" t="s">
        <v>30</v>
      </c>
      <c r="C10" s="12">
        <v>4</v>
      </c>
    </row>
    <row r="12" spans="1:6" ht="15" customHeight="1" x14ac:dyDescent="0.25">
      <c r="A12" s="3" t="s">
        <v>82</v>
      </c>
      <c r="B12" s="3"/>
      <c r="C12" s="3"/>
      <c r="E12" s="3" t="s">
        <v>83</v>
      </c>
      <c r="F12" s="3"/>
    </row>
    <row r="13" spans="1:6" ht="31.5" customHeight="1" x14ac:dyDescent="0.25">
      <c r="A13" s="10" t="s">
        <v>10</v>
      </c>
      <c r="B13" s="10" t="s">
        <v>11</v>
      </c>
      <c r="C13" s="10" t="s">
        <v>12</v>
      </c>
      <c r="E13" s="10" t="s">
        <v>20</v>
      </c>
      <c r="F13" s="10" t="s">
        <v>84</v>
      </c>
    </row>
    <row r="14" spans="1:6" ht="15" customHeight="1" x14ac:dyDescent="0.25">
      <c r="A14" s="12">
        <v>1</v>
      </c>
      <c r="B14" s="12" t="s">
        <v>47</v>
      </c>
      <c r="C14" s="15" t="s">
        <v>48</v>
      </c>
      <c r="E14" s="12" t="s">
        <v>30</v>
      </c>
      <c r="F14" s="12">
        <f>COUNTIF('Tổng hợp điểm'!$K$7:$K$20,E14)</f>
        <v>0</v>
      </c>
    </row>
    <row r="15" spans="1:6" ht="15" customHeight="1" x14ac:dyDescent="0.25">
      <c r="A15" s="12">
        <v>2</v>
      </c>
      <c r="B15" s="12" t="s">
        <v>55</v>
      </c>
      <c r="C15" s="15" t="s">
        <v>56</v>
      </c>
      <c r="E15" s="12" t="s">
        <v>28</v>
      </c>
      <c r="F15" s="12">
        <f>COUNTIF('Tổng hợp điểm'!$K$7:$K$20,E15)</f>
        <v>1</v>
      </c>
    </row>
    <row r="16" spans="1:6" ht="15" customHeight="1" x14ac:dyDescent="0.25">
      <c r="A16" s="12">
        <v>3</v>
      </c>
      <c r="B16" s="12" t="s">
        <v>57</v>
      </c>
      <c r="C16" s="15" t="s">
        <v>58</v>
      </c>
      <c r="E16" s="12" t="s">
        <v>81</v>
      </c>
      <c r="F16" s="12">
        <f>COUNTIF('Tổng hợp điểm'!$K$7:$K$20,E16)</f>
        <v>2</v>
      </c>
    </row>
    <row r="17" spans="1:6" ht="15" customHeight="1" x14ac:dyDescent="0.25">
      <c r="A17" s="12">
        <v>4</v>
      </c>
      <c r="B17" s="12" t="s">
        <v>53</v>
      </c>
      <c r="C17" s="15" t="s">
        <v>54</v>
      </c>
      <c r="E17" s="12" t="s">
        <v>80</v>
      </c>
      <c r="F17" s="12">
        <f>COUNTIF('Tổng hợp điểm'!$K$7:$K$20,E17)</f>
        <v>2</v>
      </c>
    </row>
    <row r="18" spans="1:6" ht="15" customHeight="1" x14ac:dyDescent="0.25">
      <c r="A18" s="12">
        <v>5</v>
      </c>
      <c r="B18" s="12" t="s">
        <v>49</v>
      </c>
      <c r="C18" s="15" t="s">
        <v>50</v>
      </c>
      <c r="E18" s="12" t="s">
        <v>79</v>
      </c>
      <c r="F18" s="12">
        <f>COUNTIF('Tổng hợp điểm'!$K$7:$K$20,E18)</f>
        <v>5</v>
      </c>
    </row>
    <row r="19" spans="1:6" ht="15" customHeight="1" x14ac:dyDescent="0.25">
      <c r="A19" s="12">
        <v>6</v>
      </c>
      <c r="B19" s="12" t="s">
        <v>43</v>
      </c>
      <c r="C19" s="15" t="s">
        <v>44</v>
      </c>
      <c r="E19" s="12" t="s">
        <v>78</v>
      </c>
      <c r="F19" s="12">
        <f>COUNTIF('Tổng hợp điểm'!$K$7:$K$20,E19)</f>
        <v>1</v>
      </c>
    </row>
    <row r="20" spans="1:6" ht="15" customHeight="1" x14ac:dyDescent="0.25">
      <c r="A20" s="12">
        <v>7</v>
      </c>
      <c r="B20" s="12" t="s">
        <v>61</v>
      </c>
      <c r="C20" s="15" t="s">
        <v>62</v>
      </c>
      <c r="E20" s="12" t="s">
        <v>77</v>
      </c>
      <c r="F20" s="12">
        <f>COUNTIF('Tổng hợp điểm'!$K$7:$K$20,E20)</f>
        <v>0</v>
      </c>
    </row>
    <row r="21" spans="1:6" ht="15" customHeight="1" x14ac:dyDescent="0.25">
      <c r="A21" s="12">
        <v>8</v>
      </c>
      <c r="B21" s="12" t="s">
        <v>67</v>
      </c>
      <c r="C21" s="15" t="s">
        <v>68</v>
      </c>
      <c r="E21" s="12" t="s">
        <v>76</v>
      </c>
      <c r="F21" s="12">
        <f>COUNTIF('Tổng hợp điểm'!$K$7:$K$20,E21)</f>
        <v>3</v>
      </c>
    </row>
    <row r="22" spans="1:6" ht="15" customHeight="1" x14ac:dyDescent="0.25">
      <c r="A22" s="12">
        <v>9</v>
      </c>
      <c r="B22" s="12" t="s">
        <v>63</v>
      </c>
      <c r="C22" s="15" t="s">
        <v>64</v>
      </c>
    </row>
    <row r="23" spans="1:6" ht="15" customHeight="1" x14ac:dyDescent="0.25">
      <c r="A23" s="12">
        <v>10</v>
      </c>
      <c r="B23" s="12" t="s">
        <v>45</v>
      </c>
      <c r="C23" s="15" t="s">
        <v>46</v>
      </c>
      <c r="E23" s="3" t="s">
        <v>85</v>
      </c>
      <c r="F23" s="3"/>
    </row>
    <row r="24" spans="1:6" ht="15" customHeight="1" x14ac:dyDescent="0.25">
      <c r="A24" s="12">
        <v>11</v>
      </c>
      <c r="B24" s="12" t="s">
        <v>59</v>
      </c>
      <c r="C24" s="15" t="s">
        <v>60</v>
      </c>
      <c r="E24" s="2" t="s">
        <v>86</v>
      </c>
      <c r="F24" s="1">
        <f>SUMPRODUCT((('Tổng hợp điểm'!$G$7:$G$20=0)+('Tổng hợp điểm'!$H$7:$H$20=-3)&gt;0)*1)</f>
        <v>3</v>
      </c>
    </row>
    <row r="25" spans="1:6" ht="15" customHeight="1" x14ac:dyDescent="0.25">
      <c r="A25" s="12">
        <v>12</v>
      </c>
      <c r="B25" s="12" t="s">
        <v>41</v>
      </c>
      <c r="C25" s="15" t="s">
        <v>42</v>
      </c>
      <c r="E25" s="2"/>
      <c r="F25" s="2"/>
    </row>
    <row r="26" spans="1:6" ht="13.5" customHeight="1" x14ac:dyDescent="0.25">
      <c r="A26" s="12">
        <v>13</v>
      </c>
      <c r="B26" s="12" t="s">
        <v>51</v>
      </c>
      <c r="C26" s="15" t="s">
        <v>52</v>
      </c>
      <c r="E26" s="2"/>
      <c r="F26" s="2"/>
    </row>
    <row r="27" spans="1:6" ht="30" customHeight="1" x14ac:dyDescent="0.25">
      <c r="A27" s="12">
        <v>14</v>
      </c>
      <c r="B27" s="12" t="s">
        <v>65</v>
      </c>
      <c r="C27" s="15" t="s">
        <v>66</v>
      </c>
      <c r="E27" s="12" t="s">
        <v>87</v>
      </c>
      <c r="F27" s="16">
        <f>SUMPRODUCT((VALUE(LEFT('Tổng hợp điểm'!$B$7:$B$20,1))&gt;2)*1)</f>
        <v>2</v>
      </c>
    </row>
    <row r="28" spans="1:6" ht="49.5" customHeight="1" x14ac:dyDescent="0.25">
      <c r="E28" s="12" t="s">
        <v>88</v>
      </c>
      <c r="F28" s="16">
        <f>COUNTIFS('Tổng hợp điểm'!$J$7:$J$20,"&gt;=7",'Tổng hợp điểm'!$K$7:$K$20,"B+")+COUNTIFS('Tổng hợp điểm'!$J$7:$J$20,"&gt;=7",'Tổng hợp điểm'!$K$7:$K$20,"A")</f>
        <v>1</v>
      </c>
    </row>
  </sheetData>
  <mergeCells count="7">
    <mergeCell ref="E24:E26"/>
    <mergeCell ref="F24:F26"/>
    <mergeCell ref="A1:C1"/>
    <mergeCell ref="E1:F1"/>
    <mergeCell ref="A12:C12"/>
    <mergeCell ref="E12:F12"/>
    <mergeCell ref="E23:F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zoomScaleNormal="100" workbookViewId="0">
      <selection activeCell="G37" sqref="G37"/>
    </sheetView>
  </sheetViews>
  <sheetFormatPr defaultColWidth="8.7109375" defaultRowHeight="15" x14ac:dyDescent="0.25"/>
  <cols>
    <col min="1" max="1" width="6" style="6" customWidth="1"/>
    <col min="2" max="2" width="12" style="6" customWidth="1"/>
    <col min="3" max="3" width="20" style="6" customWidth="1"/>
    <col min="4" max="6" width="9" style="6" customWidth="1"/>
    <col min="7" max="7" width="10" style="6" customWidth="1"/>
    <col min="8" max="9" width="9" style="6" customWidth="1"/>
    <col min="10" max="10" width="12" style="6" customWidth="1"/>
    <col min="11" max="11" width="9" style="6" customWidth="1"/>
  </cols>
  <sheetData>
    <row r="1" spans="1:11" ht="48" customHeight="1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</row>
    <row r="2" spans="1:11" ht="15" customHeight="1" x14ac:dyDescent="0.25">
      <c r="A2" s="17">
        <f>IFERROR(INDEX('[1]Tổng hợp điểm'!A$7:A$20,_xlfn.AGGREGATE(15,6,(ROW('[1]Tổng hợp điểm'!$J$7:$J$20)-ROW('[1]Tổng hợp điểm'!$J$7)+1)/(('[1]Tổng hợp điểm'!$J$7:$J$20&gt;=7)*(('[1]Tổng hợp điểm'!$K$7:$K$20="B+")+('[1]Tổng hợp điểm'!$K$7:$K$20="A"))),1)),"")</f>
        <v>6</v>
      </c>
      <c r="B2" s="17" t="str">
        <f>IFERROR(INDEX('[1]Tổng hợp điểm'!B$7:B$20,_xlfn.AGGREGATE(15,6,(ROW('[1]Tổng hợp điểm'!$J$7:$J$20)-ROW('[1]Tổng hợp điểm'!$J$7)+1)/(('[1]Tổng hợp điểm'!$J$7:$J$20&gt;=7)*(('[1]Tổng hợp điểm'!$K$7:$K$20="B+")+('[1]Tổng hợp điểm'!$K$7:$K$20="A"))),1)),"")</f>
        <v>0B1605235</v>
      </c>
      <c r="C2" s="17" t="str">
        <f>IFERROR(INDEX('[1]Tổng hợp điểm'!C$7:C$20,_xlfn.AGGREGATE(15,6,(ROW('[1]Tổng hợp điểm'!$J$7:$J$20)-ROW('[1]Tổng hợp điểm'!$J$7)+1)/(('[1]Tổng hợp điểm'!$J$7:$J$20&gt;=7)*(('[1]Tổng hợp điểm'!$K$7:$K$20="B+")+('[1]Tổng hợp điểm'!$K$7:$K$20="A"))),1)),"")</f>
        <v>Phạm Thị Huỳnh</v>
      </c>
      <c r="D2" s="17">
        <f>IFERROR(INDEX('[1]Tổng hợp điểm'!D$7:D$20,_xlfn.AGGREGATE(15,6,(ROW('[1]Tổng hợp điểm'!$J$7:$J$20)-ROW('[1]Tổng hợp điểm'!$J$7)+1)/(('[1]Tổng hợp điểm'!$J$7:$J$20&gt;=7)*(('[1]Tổng hợp điểm'!$K$7:$K$20="B+")+('[1]Tổng hợp điểm'!$K$7:$K$20="A"))),1)),"")</f>
        <v>0.4</v>
      </c>
      <c r="E2" s="17">
        <f>IFERROR(INDEX('[1]Tổng hợp điểm'!E$7:E$20,_xlfn.AGGREGATE(15,6,(ROW('[1]Tổng hợp điểm'!$J$7:$J$20)-ROW('[1]Tổng hợp điểm'!$J$7)+1)/(('[1]Tổng hợp điểm'!$J$7:$J$20&gt;=7)*(('[1]Tổng hợp điểm'!$K$7:$K$20="B+")+('[1]Tổng hợp điểm'!$K$7:$K$20="A"))),1)),"")</f>
        <v>0.45</v>
      </c>
      <c r="F2" s="17">
        <f>IFERROR(INDEX('[1]Tổng hợp điểm'!F$7:F$20,_xlfn.AGGREGATE(15,6,(ROW('[1]Tổng hợp điểm'!$J$7:$J$20)-ROW('[1]Tổng hợp điểm'!$J$7)+1)/(('[1]Tổng hợp điểm'!$J$7:$J$20&gt;=7)*(('[1]Tổng hợp điểm'!$K$7:$K$20="B+")+('[1]Tổng hợp điểm'!$K$7:$K$20="A"))),1)),"")</f>
        <v>0.5</v>
      </c>
      <c r="G2" s="17">
        <f>IFERROR(INDEX('[1]Tổng hợp điểm'!G$7:G$20,_xlfn.AGGREGATE(15,6,(ROW('[1]Tổng hợp điểm'!$J$7:$J$20)-ROW('[1]Tổng hợp điểm'!$J$7)+1)/(('[1]Tổng hợp điểm'!$J$7:$J$20&gt;=7)*(('[1]Tổng hợp điểm'!$K$7:$K$20="B+")+('[1]Tổng hợp điểm'!$K$7:$K$20="A"))),1)),"")</f>
        <v>1.2</v>
      </c>
      <c r="H2" s="17">
        <f>IFERROR(INDEX('[1]Tổng hợp điểm'!H$7:H$20,_xlfn.AGGREGATE(15,6,(ROW('[1]Tổng hợp điểm'!$J$7:$J$20)-ROW('[1]Tổng hợp điểm'!$J$7)+1)/(('[1]Tổng hợp điểm'!$J$7:$J$20&gt;=7)*(('[1]Tổng hợp điểm'!$K$7:$K$20="B+")+('[1]Tổng hợp điểm'!$K$7:$K$20="A"))),1)),"")</f>
        <v>7.5</v>
      </c>
      <c r="I2" s="17">
        <f>IFERROR(INDEX('[1]Tổng hợp điểm'!I$7:I$20,_xlfn.AGGREGATE(15,6,(ROW('[1]Tổng hợp điểm'!$J$7:$J$20)-ROW('[1]Tổng hợp điểm'!$J$7)+1)/(('[1]Tổng hợp điểm'!$J$7:$J$20&gt;=7)*(('[1]Tổng hợp điểm'!$K$7:$K$20="B+")+('[1]Tổng hợp điểm'!$K$7:$K$20="A"))),1)),"")</f>
        <v>7.1</v>
      </c>
      <c r="J2" s="17">
        <f>IFERROR(INDEX('[1]Tổng hợp điểm'!J$7:J$20,_xlfn.AGGREGATE(15,6,(ROW('[1]Tổng hợp điểm'!$J$7:$J$20)-ROW('[1]Tổng hợp điểm'!$J$7)+1)/(('[1]Tổng hợp điểm'!$J$7:$J$20&gt;=7)*(('[1]Tổng hợp điểm'!$K$7:$K$20="B+")+('[1]Tổng hợp điểm'!$K$7:$K$20="A"))),1)),"")</f>
        <v>8.1</v>
      </c>
      <c r="K2" s="17" t="str">
        <f>IFERROR(INDEX('[1]Tổng hợp điểm'!K$7:K$20,_xlfn.AGGREGATE(15,6,(ROW('[1]Tổng hợp điểm'!$J$7:$J$20)-ROW('[1]Tổng hợp điểm'!$J$7)+1)/(('[1]Tổng hợp điểm'!$J$7:$J$20&gt;=7)*(('[1]Tổng hợp điểm'!$K$7:$K$20="B+")+('[1]Tổng hợp điểm'!$K$7:$K$20="A"))),1)),"")</f>
        <v>B+</v>
      </c>
    </row>
  </sheetData>
  <conditionalFormatting sqref="A2:K2">
    <cfRule type="expression" dxfId="1" priority="1">
      <formula>$A2&lt;&gt;""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zoomScaleNormal="100" workbookViewId="0">
      <selection activeCell="K12" sqref="K12"/>
    </sheetView>
  </sheetViews>
  <sheetFormatPr defaultColWidth="8.7109375" defaultRowHeight="15" x14ac:dyDescent="0.25"/>
  <cols>
    <col min="1" max="1" width="6" style="6" customWidth="1"/>
    <col min="2" max="2" width="12" style="6" customWidth="1"/>
    <col min="3" max="3" width="20" style="6" customWidth="1"/>
    <col min="4" max="6" width="9" style="6" customWidth="1"/>
    <col min="7" max="7" width="10" style="6" customWidth="1"/>
    <col min="8" max="9" width="9" style="6" customWidth="1"/>
    <col min="10" max="10" width="12" style="6" customWidth="1"/>
    <col min="11" max="11" width="9" style="6" customWidth="1"/>
  </cols>
  <sheetData>
    <row r="1" spans="1:11" ht="48" customHeight="1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</row>
    <row r="2" spans="1:11" ht="15" customHeight="1" x14ac:dyDescent="0.25">
      <c r="A2" s="17">
        <f ca="1">'Sinh viên điểm &lt; 7'!$A$2:$K$12</f>
        <v>1</v>
      </c>
      <c r="B2" s="17" t="str">
        <f>IFERROR(INDEX('[1]Tổng hợp điểm'!B$7:B$20,_xlfn.AGGREGATE(15,6,(ROW('[1]Tổng hợp điểm'!$J$7:$J$20)-ROW('[1]Tổng hợp điểm'!$J$7)+1)/(('[1]Tổng hợp điểm'!$J$7:$J$20&lt;7)),1)),"")</f>
        <v>0B1505719</v>
      </c>
      <c r="C2" s="18" t="str">
        <f>IFERROR(INDEX('[1]Tổng hợp điểm'!C$7:C$20,_xlfn.AGGREGATE(15,6,(ROW('[1]Tổng hợp điểm'!$J$7:$J$20)-ROW('[1]Tổng hợp điểm'!$J$7)+1)/(('[1]Tổng hợp điểm'!$J$7:$J$20&lt;7)),1)),"")</f>
        <v>Nguyễn Văn Hiếu</v>
      </c>
      <c r="D2" s="17">
        <f>IFERROR(INDEX('[1]Tổng hợp điểm'!D$7:D$20,_xlfn.AGGREGATE(15,6,(ROW('[1]Tổng hợp điểm'!$J$7:$J$20)-ROW('[1]Tổng hợp điểm'!$J$7)+1)/(('[1]Tổng hợp điểm'!$J$7:$J$20&lt;7)),1)),"")</f>
        <v>0.45</v>
      </c>
      <c r="E2" s="17">
        <f>IFERROR(INDEX('[1]Tổng hợp điểm'!E$7:E$20,_xlfn.AGGREGATE(15,6,(ROW('[1]Tổng hợp điểm'!$J$7:$J$20)-ROW('[1]Tổng hợp điểm'!$J$7)+1)/(('[1]Tổng hợp điểm'!$J$7:$J$20&lt;7)),1)),"")</f>
        <v>0.25</v>
      </c>
      <c r="F2" s="17">
        <f>IFERROR(INDEX('[1]Tổng hợp điểm'!F$7:F$20,_xlfn.AGGREGATE(15,6,(ROW('[1]Tổng hợp điểm'!$J$7:$J$20)-ROW('[1]Tổng hợp điểm'!$J$7)+1)/(('[1]Tổng hợp điểm'!$J$7:$J$20&lt;7)),1)),"")</f>
        <v>0.3</v>
      </c>
      <c r="G2" s="17">
        <f>IFERROR(INDEX('[1]Tổng hợp điểm'!G$7:G$20,_xlfn.AGGREGATE(15,6,(ROW('[1]Tổng hợp điểm'!$J$7:$J$20)-ROW('[1]Tổng hợp điểm'!$J$7)+1)/(('[1]Tổng hợp điểm'!$J$7:$J$20&lt;7)),1)),"")</f>
        <v>0.5</v>
      </c>
      <c r="H2" s="17">
        <f>IFERROR(INDEX('[1]Tổng hợp điểm'!H$7:H$20,_xlfn.AGGREGATE(15,6,(ROW('[1]Tổng hợp điểm'!$J$7:$J$20)-ROW('[1]Tổng hợp điểm'!$J$7)+1)/(('[1]Tổng hợp điểm'!$J$7:$J$20&lt;7)),1)),"")</f>
        <v>4.2</v>
      </c>
      <c r="I2" s="19">
        <f>IFERROR(INDEX('[1]Tổng hợp điểm'!I$7:I$20,_xlfn.AGGREGATE(15,6,(ROW('[1]Tổng hợp điểm'!$J$7:$J$20)-ROW('[1]Tổng hợp điểm'!$J$7)+1)/(('[1]Tổng hợp điểm'!$J$7:$J$20&lt;7)),1)),"")</f>
        <v>4</v>
      </c>
      <c r="J2" s="19">
        <f>IFERROR(INDEX('[1]Tổng hợp điểm'!J$7:J$20,_xlfn.AGGREGATE(15,6,(ROW('[1]Tổng hợp điểm'!$J$7:$J$20)-ROW('[1]Tổng hợp điểm'!$J$7)+1)/(('[1]Tổng hợp điểm'!$J$7:$J$20&lt;7)),1)),"")</f>
        <v>5</v>
      </c>
      <c r="K2" s="17" t="str">
        <f>IFERROR(INDEX('[1]Tổng hợp điểm'!K$7:K$20,_xlfn.AGGREGATE(15,6,(ROW('[1]Tổng hợp điểm'!$J$7:$J$20)-ROW('[1]Tổng hợp điểm'!$J$7)+1)/(('[1]Tổng hợp điểm'!$J$7:$J$20&lt;7)),1)),"")</f>
        <v>D+</v>
      </c>
    </row>
    <row r="3" spans="1:11" ht="15" customHeight="1" x14ac:dyDescent="0.25">
      <c r="A3" s="17">
        <f>IFERROR(INDEX('[1]Tổng hợp điểm'!A$7:A$20,_xlfn.AGGREGATE(15,6,(ROW('[1]Tổng hợp điểm'!$J$7:$J$20)-ROW('[1]Tổng hợp điểm'!$J$7)+1)/(('[1]Tổng hợp điểm'!$J$7:$J$20&lt;7)),2)),"")</f>
        <v>2</v>
      </c>
      <c r="B3" s="17" t="str">
        <f>IFERROR(INDEX('[1]Tổng hợp điểm'!B$7:B$20,_xlfn.AGGREGATE(15,6,(ROW('[1]Tổng hợp điểm'!$J$7:$J$20)-ROW('[1]Tổng hợp điểm'!$J$7)+1)/(('[1]Tổng hợp điểm'!$J$7:$J$20&lt;7)),2)),"")</f>
        <v>1B1505915</v>
      </c>
      <c r="C3" s="18" t="str">
        <f>IFERROR(INDEX('[1]Tổng hợp điểm'!C$7:C$20,_xlfn.AGGREGATE(15,6,(ROW('[1]Tổng hợp điểm'!$J$7:$J$20)-ROW('[1]Tổng hợp điểm'!$J$7)+1)/(('[1]Tổng hợp điểm'!$J$7:$J$20&lt;7)),2)),"")</f>
        <v>Lý Minh Trí</v>
      </c>
      <c r="D3" s="17">
        <f>IFERROR(INDEX('[1]Tổng hợp điểm'!D$7:D$20,_xlfn.AGGREGATE(15,6,(ROW('[1]Tổng hợp điểm'!$J$7:$J$20)-ROW('[1]Tổng hợp điểm'!$J$7)+1)/(('[1]Tổng hợp điểm'!$J$7:$J$20&lt;7)),2)),"")</f>
        <v>0.5</v>
      </c>
      <c r="E3" s="17">
        <f>IFERROR(INDEX('[1]Tổng hợp điểm'!E$7:E$20,_xlfn.AGGREGATE(15,6,(ROW('[1]Tổng hợp điểm'!$J$7:$J$20)-ROW('[1]Tổng hợp điểm'!$J$7)+1)/(('[1]Tổng hợp điểm'!$J$7:$J$20&lt;7)),2)),"")</f>
        <v>0.35</v>
      </c>
      <c r="F3" s="17">
        <f>IFERROR(INDEX('[1]Tổng hợp điểm'!F$7:F$20,_xlfn.AGGREGATE(15,6,(ROW('[1]Tổng hợp điểm'!$J$7:$J$20)-ROW('[1]Tổng hợp điểm'!$J$7)+1)/(('[1]Tổng hợp điểm'!$J$7:$J$20&lt;7)),2)),"")</f>
        <v>0.4</v>
      </c>
      <c r="G3" s="17">
        <f>IFERROR(INDEX('[1]Tổng hợp điểm'!G$7:G$20,_xlfn.AGGREGATE(15,6,(ROW('[1]Tổng hợp điểm'!$J$7:$J$20)-ROW('[1]Tổng hợp điểm'!$J$7)+1)/(('[1]Tổng hợp điểm'!$J$7:$J$20&lt;7)),2)),"")</f>
        <v>1</v>
      </c>
      <c r="H3" s="17">
        <f>IFERROR(INDEX('[1]Tổng hợp điểm'!H$7:H$20,_xlfn.AGGREGATE(15,6,(ROW('[1]Tổng hợp điểm'!$J$7:$J$20)-ROW('[1]Tổng hợp điểm'!$J$7)+1)/(('[1]Tổng hợp điểm'!$J$7:$J$20&lt;7)),2)),"")</f>
        <v>5.8</v>
      </c>
      <c r="I3" s="19">
        <f>IFERROR(INDEX('[1]Tổng hợp điểm'!I$7:I$20,_xlfn.AGGREGATE(15,6,(ROW('[1]Tổng hợp điểm'!$J$7:$J$20)-ROW('[1]Tổng hợp điểm'!$J$7)+1)/(('[1]Tổng hợp điểm'!$J$7:$J$20&lt;7)),2)),"")</f>
        <v>5.7</v>
      </c>
      <c r="J3" s="19">
        <f>IFERROR(INDEX('[1]Tổng hợp điểm'!J$7:J$20,_xlfn.AGGREGATE(15,6,(ROW('[1]Tổng hợp điểm'!$J$7:$J$20)-ROW('[1]Tổng hợp điểm'!$J$7)+1)/(('[1]Tổng hợp điểm'!$J$7:$J$20&lt;7)),2)),"")</f>
        <v>6.2</v>
      </c>
      <c r="K3" s="17" t="str">
        <f>IFERROR(INDEX('[1]Tổng hợp điểm'!K$7:K$20,_xlfn.AGGREGATE(15,6,(ROW('[1]Tổng hợp điểm'!$J$7:$J$20)-ROW('[1]Tổng hợp điểm'!$J$7)+1)/(('[1]Tổng hợp điểm'!$J$7:$J$20&lt;7)),2)),"")</f>
        <v>C</v>
      </c>
    </row>
    <row r="4" spans="1:11" ht="15" customHeight="1" x14ac:dyDescent="0.25">
      <c r="A4" s="17">
        <f>IFERROR(INDEX('[1]Tổng hợp điểm'!A$7:A$20,_xlfn.AGGREGATE(15,6,(ROW('[1]Tổng hợp điểm'!$J$7:$J$20)-ROW('[1]Tổng hợp điểm'!$J$7)+1)/(('[1]Tổng hợp điểm'!$J$7:$J$20&lt;7)),3)),"")</f>
        <v>3</v>
      </c>
      <c r="B4" s="17" t="str">
        <f>IFERROR(INDEX('[1]Tổng hợp điểm'!B$7:B$20,_xlfn.AGGREGATE(15,6,(ROW('[1]Tổng hợp điểm'!$J$7:$J$20)-ROW('[1]Tổng hợp điểm'!$J$7)+1)/(('[1]Tổng hợp điểm'!$J$7:$J$20&lt;7)),3)),"")</f>
        <v>0B1509874</v>
      </c>
      <c r="C4" s="18" t="str">
        <f>IFERROR(INDEX('[1]Tổng hợp điểm'!C$7:C$20,_xlfn.AGGREGATE(15,6,(ROW('[1]Tổng hợp điểm'!$J$7:$J$20)-ROW('[1]Tổng hợp điểm'!$J$7)+1)/(('[1]Tổng hợp điểm'!$J$7:$J$20&lt;7)),3)),"")</f>
        <v>Nguyễn Kiều Mi</v>
      </c>
      <c r="D4" s="17">
        <f>IFERROR(INDEX('[1]Tổng hợp điểm'!D$7:D$20,_xlfn.AGGREGATE(15,6,(ROW('[1]Tổng hợp điểm'!$J$7:$J$20)-ROW('[1]Tổng hợp điểm'!$J$7)+1)/(('[1]Tổng hợp điểm'!$J$7:$J$20&lt;7)),3)),"")</f>
        <v>0.25</v>
      </c>
      <c r="E4" s="17">
        <f>IFERROR(INDEX('[1]Tổng hợp điểm'!E$7:E$20,_xlfn.AGGREGATE(15,6,(ROW('[1]Tổng hợp điểm'!$J$7:$J$20)-ROW('[1]Tổng hợp điểm'!$J$7)+1)/(('[1]Tổng hợp điểm'!$J$7:$J$20&lt;7)),3)),"")</f>
        <v>0.25</v>
      </c>
      <c r="F4" s="17">
        <f>IFERROR(INDEX('[1]Tổng hợp điểm'!F$7:F$20,_xlfn.AGGREGATE(15,6,(ROW('[1]Tổng hợp điểm'!$J$7:$J$20)-ROW('[1]Tổng hợp điểm'!$J$7)+1)/(('[1]Tổng hợp điểm'!$J$7:$J$20&lt;7)),3)),"")</f>
        <v>0.3</v>
      </c>
      <c r="G4" s="17">
        <f>IFERROR(INDEX('[1]Tổng hợp điểm'!G$7:G$20,_xlfn.AGGREGATE(15,6,(ROW('[1]Tổng hợp điểm'!$J$7:$J$20)-ROW('[1]Tổng hợp điểm'!$J$7)+1)/(('[1]Tổng hợp điểm'!$J$7:$J$20&lt;7)),3)),"")</f>
        <v>0.5</v>
      </c>
      <c r="H4" s="17">
        <f>IFERROR(INDEX('[1]Tổng hợp điểm'!H$7:H$20,_xlfn.AGGREGATE(15,6,(ROW('[1]Tổng hợp điểm'!$J$7:$J$20)-ROW('[1]Tổng hợp điểm'!$J$7)+1)/(('[1]Tổng hợp điểm'!$J$7:$J$20&lt;7)),3)),"")</f>
        <v>5.8</v>
      </c>
      <c r="I4" s="19">
        <f>IFERROR(INDEX('[1]Tổng hợp điểm'!I$7:I$20,_xlfn.AGGREGATE(15,6,(ROW('[1]Tổng hợp điểm'!$J$7:$J$20)-ROW('[1]Tổng hợp điểm'!$J$7)+1)/(('[1]Tổng hợp điểm'!$J$7:$J$20&lt;7)),3)),"")</f>
        <v>4.8</v>
      </c>
      <c r="J4" s="19">
        <f>IFERROR(INDEX('[1]Tổng hợp điểm'!J$7:J$20,_xlfn.AGGREGATE(15,6,(ROW('[1]Tổng hợp điểm'!$J$7:$J$20)-ROW('[1]Tổng hợp điểm'!$J$7)+1)/(('[1]Tổng hợp điểm'!$J$7:$J$20&lt;7)),3)),"")</f>
        <v>5.8</v>
      </c>
      <c r="K4" s="17" t="str">
        <f>IFERROR(INDEX('[1]Tổng hợp điểm'!K$7:K$20,_xlfn.AGGREGATE(15,6,(ROW('[1]Tổng hợp điểm'!$J$7:$J$20)-ROW('[1]Tổng hợp điểm'!$J$7)+1)/(('[1]Tổng hợp điểm'!$J$7:$J$20&lt;7)),3)),"")</f>
        <v>C</v>
      </c>
    </row>
    <row r="5" spans="1:11" ht="15" customHeight="1" x14ac:dyDescent="0.25">
      <c r="A5" s="17">
        <f>IFERROR(INDEX('[1]Tổng hợp điểm'!A$7:A$20,_xlfn.AGGREGATE(15,6,(ROW('[1]Tổng hợp điểm'!$J$7:$J$20)-ROW('[1]Tổng hợp điểm'!$J$7)+1)/(('[1]Tổng hợp điểm'!$J$7:$J$20&lt;7)),4)),"")</f>
        <v>4</v>
      </c>
      <c r="B5" s="17" t="str">
        <f>IFERROR(INDEX('[1]Tổng hợp điểm'!B$7:B$20,_xlfn.AGGREGATE(15,6,(ROW('[1]Tổng hợp điểm'!$J$7:$J$20)-ROW('[1]Tổng hợp điểm'!$J$7)+1)/(('[1]Tổng hợp điểm'!$J$7:$J$20&lt;7)),4)),"")</f>
        <v>0B1509929</v>
      </c>
      <c r="C5" s="18" t="str">
        <f>IFERROR(INDEX('[1]Tổng hợp điểm'!C$7:C$20,_xlfn.AGGREGATE(15,6,(ROW('[1]Tổng hợp điểm'!$J$7:$J$20)-ROW('[1]Tổng hợp điểm'!$J$7)+1)/(('[1]Tổng hợp điểm'!$J$7:$J$20&lt;7)),4)),"")</f>
        <v>Đặng Duy Linh</v>
      </c>
      <c r="D5" s="17">
        <f>IFERROR(INDEX('[1]Tổng hợp điểm'!D$7:D$20,_xlfn.AGGREGATE(15,6,(ROW('[1]Tổng hợp điểm'!$J$7:$J$20)-ROW('[1]Tổng hợp điểm'!$J$7)+1)/(('[1]Tổng hợp điểm'!$J$7:$J$20&lt;7)),4)),"")</f>
        <v>0.4</v>
      </c>
      <c r="E5" s="17">
        <f>IFERROR(INDEX('[1]Tổng hợp điểm'!E$7:E$20,_xlfn.AGGREGATE(15,6,(ROW('[1]Tổng hợp điểm'!$J$7:$J$20)-ROW('[1]Tổng hợp điểm'!$J$7)+1)/(('[1]Tổng hợp điểm'!$J$7:$J$20&lt;7)),4)),"")</f>
        <v>0.25</v>
      </c>
      <c r="F5" s="17">
        <f>IFERROR(INDEX('[1]Tổng hợp điểm'!F$7:F$20,_xlfn.AGGREGATE(15,6,(ROW('[1]Tổng hợp điểm'!$J$7:$J$20)-ROW('[1]Tổng hợp điểm'!$J$7)+1)/(('[1]Tổng hợp điểm'!$J$7:$J$20&lt;7)),4)),"")</f>
        <v>0.35</v>
      </c>
      <c r="G5" s="17">
        <f>IFERROR(INDEX('[1]Tổng hợp điểm'!G$7:G$20,_xlfn.AGGREGATE(15,6,(ROW('[1]Tổng hợp điểm'!$J$7:$J$20)-ROW('[1]Tổng hợp điểm'!$J$7)+1)/(('[1]Tổng hợp điểm'!$J$7:$J$20&lt;7)),4)),"")</f>
        <v>1</v>
      </c>
      <c r="H5" s="17">
        <f>IFERROR(INDEX('[1]Tổng hợp điểm'!H$7:H$20,_xlfn.AGGREGATE(15,6,(ROW('[1]Tổng hợp điểm'!$J$7:$J$20)-ROW('[1]Tổng hợp điểm'!$J$7)+1)/(('[1]Tổng hợp điểm'!$J$7:$J$20&lt;7)),4)),"")</f>
        <v>4.5</v>
      </c>
      <c r="I5" s="19">
        <f>IFERROR(INDEX('[1]Tổng hợp điểm'!I$7:I$20,_xlfn.AGGREGATE(15,6,(ROW('[1]Tổng hợp điểm'!$J$7:$J$20)-ROW('[1]Tổng hợp điểm'!$J$7)+1)/(('[1]Tổng hợp điểm'!$J$7:$J$20&lt;7)),4)),"")</f>
        <v>4.7</v>
      </c>
      <c r="J5" s="19">
        <f>IFERROR(INDEX('[1]Tổng hợp điểm'!J$7:J$20,_xlfn.AGGREGATE(15,6,(ROW('[1]Tổng hợp điểm'!$J$7:$J$20)-ROW('[1]Tổng hợp điểm'!$J$7)+1)/(('[1]Tổng hợp điểm'!$J$7:$J$20&lt;7)),4)),"")</f>
        <v>5.7</v>
      </c>
      <c r="K5" s="17" t="str">
        <f>IFERROR(INDEX('[1]Tổng hợp điểm'!K$7:K$20,_xlfn.AGGREGATE(15,6,(ROW('[1]Tổng hợp điểm'!$J$7:$J$20)-ROW('[1]Tổng hợp điểm'!$J$7)+1)/(('[1]Tổng hợp điểm'!$J$7:$J$20&lt;7)),4)),"")</f>
        <v>C</v>
      </c>
    </row>
    <row r="6" spans="1:11" ht="15" customHeight="1" x14ac:dyDescent="0.25">
      <c r="A6" s="17">
        <f>IFERROR(INDEX('[1]Tổng hợp điểm'!A$7:A$20,_xlfn.AGGREGATE(15,6,(ROW('[1]Tổng hợp điểm'!$J$7:$J$20)-ROW('[1]Tổng hợp điểm'!$J$7)+1)/(('[1]Tổng hợp điểm'!$J$7:$J$20&lt;7)),5)),"")</f>
        <v>5</v>
      </c>
      <c r="B6" s="17" t="str">
        <f>IFERROR(INDEX('[1]Tổng hợp điểm'!B$7:B$20,_xlfn.AGGREGATE(15,6,(ROW('[1]Tổng hợp điểm'!$J$7:$J$20)-ROW('[1]Tổng hợp điểm'!$J$7)+1)/(('[1]Tổng hợp điểm'!$J$7:$J$20&lt;7)),5)),"")</f>
        <v>2B1605223</v>
      </c>
      <c r="C6" s="18" t="str">
        <f>IFERROR(INDEX('[1]Tổng hợp điểm'!C$7:C$20,_xlfn.AGGREGATE(15,6,(ROW('[1]Tổng hợp điểm'!$J$7:$J$20)-ROW('[1]Tổng hợp điểm'!$J$7)+1)/(('[1]Tổng hợp điểm'!$J$7:$J$20&lt;7)),5)),"")</f>
        <v>Lê Thị Trúc Linh</v>
      </c>
      <c r="D6" s="17">
        <f>IFERROR(INDEX('[1]Tổng hợp điểm'!D$7:D$20,_xlfn.AGGREGATE(15,6,(ROW('[1]Tổng hợp điểm'!$J$7:$J$20)-ROW('[1]Tổng hợp điểm'!$J$7)+1)/(('[1]Tổng hợp điểm'!$J$7:$J$20&lt;7)),5)),"")</f>
        <v>0.45</v>
      </c>
      <c r="E6" s="17">
        <f>IFERROR(INDEX('[1]Tổng hợp điểm'!E$7:E$20,_xlfn.AGGREGATE(15,6,(ROW('[1]Tổng hợp điểm'!$J$7:$J$20)-ROW('[1]Tổng hợp điểm'!$J$7)+1)/(('[1]Tổng hợp điểm'!$J$7:$J$20&lt;7)),5)),"")</f>
        <v>0.4</v>
      </c>
      <c r="F6" s="17">
        <f>IFERROR(INDEX('[1]Tổng hợp điểm'!F$7:F$20,_xlfn.AGGREGATE(15,6,(ROW('[1]Tổng hợp điểm'!$J$7:$J$20)-ROW('[1]Tổng hợp điểm'!$J$7)+1)/(('[1]Tổng hợp điểm'!$J$7:$J$20&lt;7)),5)),"")</f>
        <v>0.35</v>
      </c>
      <c r="G6" s="17">
        <f>IFERROR(INDEX('[1]Tổng hợp điểm'!G$7:G$20,_xlfn.AGGREGATE(15,6,(ROW('[1]Tổng hợp điểm'!$J$7:$J$20)-ROW('[1]Tổng hợp điểm'!$J$7)+1)/(('[1]Tổng hợp điểm'!$J$7:$J$20&lt;7)),5)),"")</f>
        <v>0.75</v>
      </c>
      <c r="H6" s="17">
        <f>IFERROR(INDEX('[1]Tổng hợp điểm'!H$7:H$20,_xlfn.AGGREGATE(15,6,(ROW('[1]Tổng hợp điểm'!$J$7:$J$20)-ROW('[1]Tổng hợp điểm'!$J$7)+1)/(('[1]Tổng hợp điểm'!$J$7:$J$20&lt;7)),5)),"")</f>
        <v>5.5</v>
      </c>
      <c r="I6" s="19">
        <f>IFERROR(INDEX('[1]Tổng hợp điểm'!I$7:I$20,_xlfn.AGGREGATE(15,6,(ROW('[1]Tổng hợp điểm'!$J$7:$J$20)-ROW('[1]Tổng hợp điểm'!$J$7)+1)/(('[1]Tổng hợp điểm'!$J$7:$J$20&lt;7)),5)),"")</f>
        <v>5.3</v>
      </c>
      <c r="J6" s="19">
        <f>IFERROR(INDEX('[1]Tổng hợp điểm'!J$7:J$20,_xlfn.AGGREGATE(15,6,(ROW('[1]Tổng hợp điểm'!$J$7:$J$20)-ROW('[1]Tổng hợp điểm'!$J$7)+1)/(('[1]Tổng hợp điểm'!$J$7:$J$20&lt;7)),5)),"")</f>
        <v>5.6</v>
      </c>
      <c r="K6" s="17" t="str">
        <f>IFERROR(INDEX('[1]Tổng hợp điểm'!K$7:K$20,_xlfn.AGGREGATE(15,6,(ROW('[1]Tổng hợp điểm'!$J$7:$J$20)-ROW('[1]Tổng hợp điểm'!$J$7)+1)/(('[1]Tổng hợp điểm'!$J$7:$J$20&lt;7)),5)),"")</f>
        <v>C</v>
      </c>
    </row>
    <row r="7" spans="1:11" ht="15" customHeight="1" x14ac:dyDescent="0.25">
      <c r="A7" s="17">
        <f>IFERROR(INDEX('[1]Tổng hợp điểm'!A$7:A$20,_xlfn.AGGREGATE(15,6,(ROW('[1]Tổng hợp điểm'!$J$7:$J$20)-ROW('[1]Tổng hợp điểm'!$J$7)+1)/(('[1]Tổng hợp điểm'!$J$7:$J$20&lt;7)),6)),"")</f>
        <v>7</v>
      </c>
      <c r="B7" s="17" t="str">
        <f>IFERROR(INDEX('[1]Tổng hợp điểm'!B$7:B$20,_xlfn.AGGREGATE(15,6,(ROW('[1]Tổng hợp điểm'!$J$7:$J$20)-ROW('[1]Tổng hợp điểm'!$J$7)+1)/(('[1]Tổng hợp điểm'!$J$7:$J$20&lt;7)),6)),"")</f>
        <v>0B1605249</v>
      </c>
      <c r="C7" s="18" t="str">
        <f>IFERROR(INDEX('[1]Tổng hợp điểm'!C$7:C$20,_xlfn.AGGREGATE(15,6,(ROW('[1]Tổng hợp điểm'!$J$7:$J$20)-ROW('[1]Tổng hợp điểm'!$J$7)+1)/(('[1]Tổng hợp điểm'!$J$7:$J$20&lt;7)),6)),"")</f>
        <v>Lê Minh Thông</v>
      </c>
      <c r="D7" s="17">
        <f>IFERROR(INDEX('[1]Tổng hợp điểm'!D$7:D$20,_xlfn.AGGREGATE(15,6,(ROW('[1]Tổng hợp điểm'!$J$7:$J$20)-ROW('[1]Tổng hợp điểm'!$J$7)+1)/(('[1]Tổng hợp điểm'!$J$7:$J$20&lt;7)),6)),"")</f>
        <v>0.4</v>
      </c>
      <c r="E7" s="17">
        <f>IFERROR(INDEX('[1]Tổng hợp điểm'!E$7:E$20,_xlfn.AGGREGATE(15,6,(ROW('[1]Tổng hợp điểm'!$J$7:$J$20)-ROW('[1]Tổng hợp điểm'!$J$7)+1)/(('[1]Tổng hợp điểm'!$J$7:$J$20&lt;7)),6)),"")</f>
        <v>0.4</v>
      </c>
      <c r="F7" s="17">
        <f>IFERROR(INDEX('[1]Tổng hợp điểm'!F$7:F$20,_xlfn.AGGREGATE(15,6,(ROW('[1]Tổng hợp điểm'!$J$7:$J$20)-ROW('[1]Tổng hợp điểm'!$J$7)+1)/(('[1]Tổng hợp điểm'!$J$7:$J$20&lt;7)),6)),"")</f>
        <v>0.4</v>
      </c>
      <c r="G7" s="17">
        <f>IFERROR(INDEX('[1]Tổng hợp điểm'!G$7:G$20,_xlfn.AGGREGATE(15,6,(ROW('[1]Tổng hợp điểm'!$J$7:$J$20)-ROW('[1]Tổng hợp điểm'!$J$7)+1)/(('[1]Tổng hợp điểm'!$J$7:$J$20&lt;7)),6)),"")</f>
        <v>1</v>
      </c>
      <c r="H7" s="17">
        <f>IFERROR(INDEX('[1]Tổng hợp điểm'!H$7:H$20,_xlfn.AGGREGATE(15,6,(ROW('[1]Tổng hợp điểm'!$J$7:$J$20)-ROW('[1]Tổng hợp điểm'!$J$7)+1)/(('[1]Tổng hợp điểm'!$J$7:$J$20&lt;7)),6)),"")</f>
        <v>5.3</v>
      </c>
      <c r="I7" s="19">
        <f>IFERROR(INDEX('[1]Tổng hợp điểm'!I$7:I$20,_xlfn.AGGREGATE(15,6,(ROW('[1]Tổng hợp điểm'!$J$7:$J$20)-ROW('[1]Tổng hợp điểm'!$J$7)+1)/(('[1]Tổng hợp điểm'!$J$7:$J$20&lt;7)),6)),"")</f>
        <v>5.4</v>
      </c>
      <c r="J7" s="19">
        <f>IFERROR(INDEX('[1]Tổng hợp điểm'!J$7:J$20,_xlfn.AGGREGATE(15,6,(ROW('[1]Tổng hợp điểm'!$J$7:$J$20)-ROW('[1]Tổng hợp điểm'!$J$7)+1)/(('[1]Tổng hợp điểm'!$J$7:$J$20&lt;7)),6)),"")</f>
        <v>6.4</v>
      </c>
      <c r="K7" s="17" t="str">
        <f>IFERROR(INDEX('[1]Tổng hợp điểm'!K$7:K$20,_xlfn.AGGREGATE(15,6,(ROW('[1]Tổng hợp điểm'!$J$7:$J$20)-ROW('[1]Tổng hợp điểm'!$J$7)+1)/(('[1]Tổng hợp điểm'!$J$7:$J$20&lt;7)),6)),"")</f>
        <v>C</v>
      </c>
    </row>
    <row r="8" spans="1:11" ht="15" customHeight="1" x14ac:dyDescent="0.25">
      <c r="A8" s="17">
        <f>IFERROR(INDEX('[1]Tổng hợp điểm'!A$7:A$20,_xlfn.AGGREGATE(15,6,(ROW('[1]Tổng hợp điểm'!$J$7:$J$20)-ROW('[1]Tổng hợp điểm'!$J$7)+1)/(('[1]Tổng hợp điểm'!$J$7:$J$20&lt;7)),7)),"")</f>
        <v>8</v>
      </c>
      <c r="B8" s="17" t="str">
        <f>IFERROR(INDEX('[1]Tổng hợp điểm'!B$7:B$20,_xlfn.AGGREGATE(15,6,(ROW('[1]Tổng hợp điểm'!$J$7:$J$20)-ROW('[1]Tổng hợp điểm'!$J$7)+1)/(('[1]Tổng hợp điểm'!$J$7:$J$20&lt;7)),7)),"")</f>
        <v>0B1605285</v>
      </c>
      <c r="C8" s="18" t="str">
        <f>IFERROR(INDEX('[1]Tổng hợp điểm'!C$7:C$20,_xlfn.AGGREGATE(15,6,(ROW('[1]Tổng hợp điểm'!$J$7:$J$20)-ROW('[1]Tổng hợp điểm'!$J$7)+1)/(('[1]Tổng hợp điểm'!$J$7:$J$20&lt;7)),7)),"")</f>
        <v>Huỳnh Thị Diễm</v>
      </c>
      <c r="D8" s="17">
        <f>IFERROR(INDEX('[1]Tổng hợp điểm'!D$7:D$20,_xlfn.AGGREGATE(15,6,(ROW('[1]Tổng hợp điểm'!$J$7:$J$20)-ROW('[1]Tổng hợp điểm'!$J$7)+1)/(('[1]Tổng hợp điểm'!$J$7:$J$20&lt;7)),7)),"")</f>
        <v>0.45</v>
      </c>
      <c r="E8" s="17">
        <f>IFERROR(INDEX('[1]Tổng hợp điểm'!E$7:E$20,_xlfn.AGGREGATE(15,6,(ROW('[1]Tổng hợp điểm'!$J$7:$J$20)-ROW('[1]Tổng hợp điểm'!$J$7)+1)/(('[1]Tổng hợp điểm'!$J$7:$J$20&lt;7)),7)),"")</f>
        <v>0.4</v>
      </c>
      <c r="F8" s="17">
        <f>IFERROR(INDEX('[1]Tổng hợp điểm'!F$7:F$20,_xlfn.AGGREGATE(15,6,(ROW('[1]Tổng hợp điểm'!$J$7:$J$20)-ROW('[1]Tổng hợp điểm'!$J$7)+1)/(('[1]Tổng hợp điểm'!$J$7:$J$20&lt;7)),7)),"")</f>
        <v>0.45</v>
      </c>
      <c r="G8" s="17">
        <f>IFERROR(INDEX('[1]Tổng hợp điểm'!G$7:G$20,_xlfn.AGGREGATE(15,6,(ROW('[1]Tổng hợp điểm'!$J$7:$J$20)-ROW('[1]Tổng hợp điểm'!$J$7)+1)/(('[1]Tổng hợp điểm'!$J$7:$J$20&lt;7)),7)),"")</f>
        <v>0</v>
      </c>
      <c r="H8" s="17">
        <f>IFERROR(INDEX('[1]Tổng hợp điểm'!H$7:H$20,_xlfn.AGGREGATE(15,6,(ROW('[1]Tổng hợp điểm'!$J$7:$J$20)-ROW('[1]Tổng hợp điểm'!$J$7)+1)/(('[1]Tổng hợp điểm'!$J$7:$J$20&lt;7)),7)),"")</f>
        <v>6.8</v>
      </c>
      <c r="I8" s="19">
        <f>IFERROR(INDEX('[1]Tổng hợp điểm'!I$7:I$20,_xlfn.AGGREGATE(15,6,(ROW('[1]Tổng hợp điểm'!$J$7:$J$20)-ROW('[1]Tổng hợp điểm'!$J$7)+1)/(('[1]Tổng hợp điểm'!$J$7:$J$20&lt;7)),7)),"")</f>
        <v>5.4</v>
      </c>
      <c r="J8" s="19">
        <f>IFERROR(INDEX('[1]Tổng hợp điểm'!J$7:J$20,_xlfn.AGGREGATE(15,6,(ROW('[1]Tổng hợp điểm'!$J$7:$J$20)-ROW('[1]Tổng hợp điểm'!$J$7)+1)/(('[1]Tổng hợp điểm'!$J$7:$J$20&lt;7)),7)),"")</f>
        <v>0</v>
      </c>
      <c r="K8" s="17" t="str">
        <f>IFERROR(INDEX('[1]Tổng hợp điểm'!K$7:K$20,_xlfn.AGGREGATE(15,6,(ROW('[1]Tổng hợp điểm'!$J$7:$J$20)-ROW('[1]Tổng hợp điểm'!$J$7)+1)/(('[1]Tổng hợp điểm'!$J$7:$J$20&lt;7)),7)),"")</f>
        <v>F</v>
      </c>
    </row>
    <row r="9" spans="1:11" ht="15" customHeight="1" x14ac:dyDescent="0.25">
      <c r="A9" s="17">
        <f>IFERROR(INDEX('[1]Tổng hợp điểm'!A$7:A$20,_xlfn.AGGREGATE(15,6,(ROW('[1]Tổng hợp điểm'!$J$7:$J$20)-ROW('[1]Tổng hợp điểm'!$J$7)+1)/(('[1]Tổng hợp điểm'!$J$7:$J$20&lt;7)),8)),"")</f>
        <v>9</v>
      </c>
      <c r="B9" s="17" t="str">
        <f>IFERROR(INDEX('[1]Tổng hợp điểm'!B$7:B$20,_xlfn.AGGREGATE(15,6,(ROW('[1]Tổng hợp điểm'!$J$7:$J$20)-ROW('[1]Tổng hợp điểm'!$J$7)+1)/(('[1]Tổng hợp điểm'!$J$7:$J$20&lt;7)),8)),"")</f>
        <v>0B1605291</v>
      </c>
      <c r="C9" s="18" t="str">
        <f>IFERROR(INDEX('[1]Tổng hợp điểm'!C$7:C$20,_xlfn.AGGREGATE(15,6,(ROW('[1]Tổng hợp điểm'!$J$7:$J$20)-ROW('[1]Tổng hợp điểm'!$J$7)+1)/(('[1]Tổng hợp điểm'!$J$7:$J$20&lt;7)),8)),"")</f>
        <v>Trần Thanh Nguyên</v>
      </c>
      <c r="D9" s="17">
        <f>IFERROR(INDEX('[1]Tổng hợp điểm'!D$7:D$20,_xlfn.AGGREGATE(15,6,(ROW('[1]Tổng hợp điểm'!$J$7:$J$20)-ROW('[1]Tổng hợp điểm'!$J$7)+1)/(('[1]Tổng hợp điểm'!$J$7:$J$20&lt;7)),8)),"")</f>
        <v>0.45</v>
      </c>
      <c r="E9" s="17">
        <f>IFERROR(INDEX('[1]Tổng hợp điểm'!E$7:E$20,_xlfn.AGGREGATE(15,6,(ROW('[1]Tổng hợp điểm'!$J$7:$J$20)-ROW('[1]Tổng hợp điểm'!$J$7)+1)/(('[1]Tổng hợp điểm'!$J$7:$J$20&lt;7)),8)),"")</f>
        <v>0.4</v>
      </c>
      <c r="F9" s="17">
        <f>IFERROR(INDEX('[1]Tổng hợp điểm'!F$7:F$20,_xlfn.AGGREGATE(15,6,(ROW('[1]Tổng hợp điểm'!$J$7:$J$20)-ROW('[1]Tổng hợp điểm'!$J$7)+1)/(('[1]Tổng hợp điểm'!$J$7:$J$20&lt;7)),8)),"")</f>
        <v>0.4</v>
      </c>
      <c r="G9" s="17">
        <f>IFERROR(INDEX('[1]Tổng hợp điểm'!G$7:G$20,_xlfn.AGGREGATE(15,6,(ROW('[1]Tổng hợp điểm'!$J$7:$J$20)-ROW('[1]Tổng hợp điểm'!$J$7)+1)/(('[1]Tổng hợp điểm'!$J$7:$J$20&lt;7)),8)),"")</f>
        <v>0.75</v>
      </c>
      <c r="H9" s="17">
        <f>IFERROR(INDEX('[1]Tổng hợp điểm'!H$7:H$20,_xlfn.AGGREGATE(15,6,(ROW('[1]Tổng hợp điểm'!$J$7:$J$20)-ROW('[1]Tổng hợp điểm'!$J$7)+1)/(('[1]Tổng hợp điểm'!$J$7:$J$20&lt;7)),8)),"")</f>
        <v>6.3</v>
      </c>
      <c r="I9" s="19">
        <f>IFERROR(INDEX('[1]Tổng hợp điểm'!I$7:I$20,_xlfn.AGGREGATE(15,6,(ROW('[1]Tổng hợp điểm'!$J$7:$J$20)-ROW('[1]Tổng hợp điểm'!$J$7)+1)/(('[1]Tổng hợp điểm'!$J$7:$J$20&lt;7)),8)),"")</f>
        <v>5.8</v>
      </c>
      <c r="J9" s="19">
        <f>IFERROR(INDEX('[1]Tổng hợp điểm'!J$7:J$20,_xlfn.AGGREGATE(15,6,(ROW('[1]Tổng hợp điểm'!$J$7:$J$20)-ROW('[1]Tổng hợp điểm'!$J$7)+1)/(('[1]Tổng hợp điểm'!$J$7:$J$20&lt;7)),8)),"")</f>
        <v>6.8</v>
      </c>
      <c r="K9" s="17" t="str">
        <f>IFERROR(INDEX('[1]Tổng hợp điểm'!K$7:K$20,_xlfn.AGGREGATE(15,6,(ROW('[1]Tổng hợp điểm'!$J$7:$J$20)-ROW('[1]Tổng hợp điểm'!$J$7)+1)/(('[1]Tổng hợp điểm'!$J$7:$J$20&lt;7)),8)),"")</f>
        <v>C+</v>
      </c>
    </row>
    <row r="10" spans="1:11" ht="15" customHeight="1" x14ac:dyDescent="0.25">
      <c r="A10" s="17">
        <f>IFERROR(INDEX('[1]Tổng hợp điểm'!A$7:A$20,_xlfn.AGGREGATE(15,6,(ROW('[1]Tổng hợp điểm'!$J$7:$J$20)-ROW('[1]Tổng hợp điểm'!$J$7)+1)/(('[1]Tổng hợp điểm'!$J$7:$J$20&lt;7)),9)),"")</f>
        <v>11</v>
      </c>
      <c r="B10" s="17" t="str">
        <f>IFERROR(INDEX('[1]Tổng hợp điểm'!B$7:B$20,_xlfn.AGGREGATE(15,6,(ROW('[1]Tổng hợp điểm'!$J$7:$J$20)-ROW('[1]Tổng hợp điểm'!$J$7)+1)/(('[1]Tổng hợp điểm'!$J$7:$J$20&lt;7)),9)),"")</f>
        <v>4B1607025</v>
      </c>
      <c r="C10" s="18" t="str">
        <f>IFERROR(INDEX('[1]Tổng hợp điểm'!C$7:C$20,_xlfn.AGGREGATE(15,6,(ROW('[1]Tổng hợp điểm'!$J$7:$J$20)-ROW('[1]Tổng hợp điểm'!$J$7)+1)/(('[1]Tổng hợp điểm'!$J$7:$J$20&lt;7)),9)),"")</f>
        <v>Nguyễn Chí Thanh</v>
      </c>
      <c r="D10" s="17">
        <f>IFERROR(INDEX('[1]Tổng hợp điểm'!D$7:D$20,_xlfn.AGGREGATE(15,6,(ROW('[1]Tổng hợp điểm'!$J$7:$J$20)-ROW('[1]Tổng hợp điểm'!$J$7)+1)/(('[1]Tổng hợp điểm'!$J$7:$J$20&lt;7)),9)),"")</f>
        <v>0.4</v>
      </c>
      <c r="E10" s="17">
        <f>IFERROR(INDEX('[1]Tổng hợp điểm'!E$7:E$20,_xlfn.AGGREGATE(15,6,(ROW('[1]Tổng hợp điểm'!$J$7:$J$20)-ROW('[1]Tổng hợp điểm'!$J$7)+1)/(('[1]Tổng hợp điểm'!$J$7:$J$20&lt;7)),9)),"")</f>
        <v>0.45</v>
      </c>
      <c r="F10" s="17">
        <f>IFERROR(INDEX('[1]Tổng hợp điểm'!F$7:F$20,_xlfn.AGGREGATE(15,6,(ROW('[1]Tổng hợp điểm'!$J$7:$J$20)-ROW('[1]Tổng hợp điểm'!$J$7)+1)/(('[1]Tổng hợp điểm'!$J$7:$J$20&lt;7)),9)),"")</f>
        <v>0.4</v>
      </c>
      <c r="G10" s="17">
        <f>IFERROR(INDEX('[1]Tổng hợp điểm'!G$7:G$20,_xlfn.AGGREGATE(15,6,(ROW('[1]Tổng hợp điểm'!$J$7:$J$20)-ROW('[1]Tổng hợp điểm'!$J$7)+1)/(('[1]Tổng hợp điểm'!$J$7:$J$20&lt;7)),9)),"")</f>
        <v>0.3</v>
      </c>
      <c r="H10" s="17">
        <f>IFERROR(INDEX('[1]Tổng hợp điểm'!H$7:H$20,_xlfn.AGGREGATE(15,6,(ROW('[1]Tổng hợp điểm'!$J$7:$J$20)-ROW('[1]Tổng hợp điểm'!$J$7)+1)/(('[1]Tổng hợp điểm'!$J$7:$J$20&lt;7)),9)),"")</f>
        <v>-3</v>
      </c>
      <c r="I10" s="19">
        <f>IFERROR(INDEX('[1]Tổng hợp điểm'!I$7:I$20,_xlfn.AGGREGATE(15,6,(ROW('[1]Tổng hợp điểm'!$J$7:$J$20)-ROW('[1]Tổng hợp điểm'!$J$7)+1)/(('[1]Tổng hợp điểm'!$J$7:$J$20&lt;7)),9)),"")</f>
        <v>0</v>
      </c>
      <c r="J10" s="19">
        <f>IFERROR(INDEX('[1]Tổng hợp điểm'!J$7:J$20,_xlfn.AGGREGATE(15,6,(ROW('[1]Tổng hợp điểm'!$J$7:$J$20)-ROW('[1]Tổng hợp điểm'!$J$7)+1)/(('[1]Tổng hợp điểm'!$J$7:$J$20&lt;7)),9)),"")</f>
        <v>0</v>
      </c>
      <c r="K10" s="17" t="str">
        <f>IFERROR(INDEX('[1]Tổng hợp điểm'!K$7:K$20,_xlfn.AGGREGATE(15,6,(ROW('[1]Tổng hợp điểm'!$J$7:$J$20)-ROW('[1]Tổng hợp điểm'!$J$7)+1)/(('[1]Tổng hợp điểm'!$J$7:$J$20&lt;7)),9)),"")</f>
        <v>F</v>
      </c>
    </row>
    <row r="11" spans="1:11" ht="15" customHeight="1" x14ac:dyDescent="0.25">
      <c r="A11" s="17">
        <f>IFERROR(INDEX('[1]Tổng hợp điểm'!A$7:A$20,_xlfn.AGGREGATE(15,6,(ROW('[1]Tổng hợp điểm'!$J$7:$J$20)-ROW('[1]Tổng hợp điểm'!$J$7)+1)/(('[1]Tổng hợp điểm'!$J$7:$J$20&lt;7)),10)),"")</f>
        <v>13</v>
      </c>
      <c r="B11" s="17" t="str">
        <f>IFERROR(INDEX('[1]Tổng hợp điểm'!B$7:B$20,_xlfn.AGGREGATE(15,6,(ROW('[1]Tổng hợp điểm'!$J$7:$J$20)-ROW('[1]Tổng hợp điểm'!$J$7)+1)/(('[1]Tổng hợp điểm'!$J$7:$J$20&lt;7)),10)),"")</f>
        <v>5B1609765</v>
      </c>
      <c r="C11" s="18" t="str">
        <f>IFERROR(INDEX('[1]Tổng hợp điểm'!C$7:C$20,_xlfn.AGGREGATE(15,6,(ROW('[1]Tổng hợp điểm'!$J$7:$J$20)-ROW('[1]Tổng hợp điểm'!$J$7)+1)/(('[1]Tổng hợp điểm'!$J$7:$J$20&lt;7)),10)),"")</f>
        <v>Trần Nam Dương</v>
      </c>
      <c r="D11" s="17">
        <f>IFERROR(INDEX('[1]Tổng hợp điểm'!D$7:D$20,_xlfn.AGGREGATE(15,6,(ROW('[1]Tổng hợp điểm'!$J$7:$J$20)-ROW('[1]Tổng hợp điểm'!$J$7)+1)/(('[1]Tổng hợp điểm'!$J$7:$J$20&lt;7)),10)),"")</f>
        <v>0.4</v>
      </c>
      <c r="E11" s="17">
        <f>IFERROR(INDEX('[1]Tổng hợp điểm'!E$7:E$20,_xlfn.AGGREGATE(15,6,(ROW('[1]Tổng hợp điểm'!$J$7:$J$20)-ROW('[1]Tổng hợp điểm'!$J$7)+1)/(('[1]Tổng hợp điểm'!$J$7:$J$20&lt;7)),10)),"")</f>
        <v>0.4</v>
      </c>
      <c r="F11" s="17">
        <f>IFERROR(INDEX('[1]Tổng hợp điểm'!F$7:F$20,_xlfn.AGGREGATE(15,6,(ROW('[1]Tổng hợp điểm'!$J$7:$J$20)-ROW('[1]Tổng hợp điểm'!$J$7)+1)/(('[1]Tổng hợp điểm'!$J$7:$J$20&lt;7)),10)),"")</f>
        <v>0.35</v>
      </c>
      <c r="G11" s="17">
        <f>IFERROR(INDEX('[1]Tổng hợp điểm'!G$7:G$20,_xlfn.AGGREGATE(15,6,(ROW('[1]Tổng hợp điểm'!$J$7:$J$20)-ROW('[1]Tổng hợp điểm'!$J$7)+1)/(('[1]Tổng hợp điểm'!$J$7:$J$20&lt;7)),10)),"")</f>
        <v>1.35</v>
      </c>
      <c r="H11" s="17">
        <f>IFERROR(INDEX('[1]Tổng hợp điểm'!H$7:H$20,_xlfn.AGGREGATE(15,6,(ROW('[1]Tổng hợp điểm'!$J$7:$J$20)-ROW('[1]Tổng hợp điểm'!$J$7)+1)/(('[1]Tổng hợp điểm'!$J$7:$J$20&lt;7)),10)),"")</f>
        <v>-3</v>
      </c>
      <c r="I11" s="19">
        <f>IFERROR(INDEX('[1]Tổng hợp điểm'!I$7:I$20,_xlfn.AGGREGATE(15,6,(ROW('[1]Tổng hợp điểm'!$J$7:$J$20)-ROW('[1]Tổng hợp điểm'!$J$7)+1)/(('[1]Tổng hợp điểm'!$J$7:$J$20&lt;7)),10)),"")</f>
        <v>0</v>
      </c>
      <c r="J11" s="19">
        <f>IFERROR(INDEX('[1]Tổng hợp điểm'!J$7:J$20,_xlfn.AGGREGATE(15,6,(ROW('[1]Tổng hợp điểm'!$J$7:$J$20)-ROW('[1]Tổng hợp điểm'!$J$7)+1)/(('[1]Tổng hợp điểm'!$J$7:$J$20&lt;7)),10)),"")</f>
        <v>0</v>
      </c>
      <c r="K11" s="17" t="str">
        <f>IFERROR(INDEX('[1]Tổng hợp điểm'!K$7:K$20,_xlfn.AGGREGATE(15,6,(ROW('[1]Tổng hợp điểm'!$J$7:$J$20)-ROW('[1]Tổng hợp điểm'!$J$7)+1)/(('[1]Tổng hợp điểm'!$J$7:$J$20&lt;7)),10)),"")</f>
        <v>F</v>
      </c>
    </row>
    <row r="12" spans="1:11" ht="15" customHeight="1" x14ac:dyDescent="0.25">
      <c r="A12" s="17">
        <f>IFERROR(INDEX('[1]Tổng hợp điểm'!A$7:A$20,_xlfn.AGGREGATE(15,6,(ROW('[1]Tổng hợp điểm'!$J$7:$J$20)-ROW('[1]Tổng hợp điểm'!$J$7)+1)/(('[1]Tổng hợp điểm'!$J$7:$J$20&lt;7)),11)),"")</f>
        <v>14</v>
      </c>
      <c r="B12" s="17" t="str">
        <f>IFERROR(INDEX('[1]Tổng hợp điểm'!B$7:B$20,_xlfn.AGGREGATE(15,6,(ROW('[1]Tổng hợp điểm'!$J$7:$J$20)-ROW('[1]Tổng hợp điểm'!$J$7)+1)/(('[1]Tổng hợp điểm'!$J$7:$J$20&lt;7)),11)),"")</f>
        <v>0B1609773</v>
      </c>
      <c r="C12" s="18" t="str">
        <f>IFERROR(INDEX('[1]Tổng hợp điểm'!C$7:C$20,_xlfn.AGGREGATE(15,6,(ROW('[1]Tổng hợp điểm'!$J$7:$J$20)-ROW('[1]Tổng hợp điểm'!$J$7)+1)/(('[1]Tổng hợp điểm'!$J$7:$J$20&lt;7)),11)),"")</f>
        <v>Nguyễn Duy Khanh</v>
      </c>
      <c r="D12" s="17">
        <f>IFERROR(INDEX('[1]Tổng hợp điểm'!D$7:D$20,_xlfn.AGGREGATE(15,6,(ROW('[1]Tổng hợp điểm'!$J$7:$J$20)-ROW('[1]Tổng hợp điểm'!$J$7)+1)/(('[1]Tổng hợp điểm'!$J$7:$J$20&lt;7)),11)),"")</f>
        <v>0.35</v>
      </c>
      <c r="E12" s="17">
        <f>IFERROR(INDEX('[1]Tổng hợp điểm'!E$7:E$20,_xlfn.AGGREGATE(15,6,(ROW('[1]Tổng hợp điểm'!$J$7:$J$20)-ROW('[1]Tổng hợp điểm'!$J$7)+1)/(('[1]Tổng hợp điểm'!$J$7:$J$20&lt;7)),11)),"")</f>
        <v>0.4</v>
      </c>
      <c r="F12" s="17">
        <f>IFERROR(INDEX('[1]Tổng hợp điểm'!F$7:F$20,_xlfn.AGGREGATE(15,6,(ROW('[1]Tổng hợp điểm'!$J$7:$J$20)-ROW('[1]Tổng hợp điểm'!$J$7)+1)/(('[1]Tổng hợp điểm'!$J$7:$J$20&lt;7)),11)),"")</f>
        <v>0</v>
      </c>
      <c r="G12" s="17">
        <f>IFERROR(INDEX('[1]Tổng hợp điểm'!G$7:G$20,_xlfn.AGGREGATE(15,6,(ROW('[1]Tổng hợp điểm'!$J$7:$J$20)-ROW('[1]Tổng hợp điểm'!$J$7)+1)/(('[1]Tổng hợp điểm'!$J$7:$J$20&lt;7)),11)),"")</f>
        <v>0.85</v>
      </c>
      <c r="H12" s="17">
        <f>IFERROR(INDEX('[1]Tổng hợp điểm'!H$7:H$20,_xlfn.AGGREGATE(15,6,(ROW('[1]Tổng hợp điểm'!$J$7:$J$20)-ROW('[1]Tổng hợp điểm'!$J$7)+1)/(('[1]Tổng hợp điểm'!$J$7:$J$20&lt;7)),11)),"")</f>
        <v>6.5</v>
      </c>
      <c r="I12" s="19">
        <f>IFERROR(INDEX('[1]Tổng hợp điểm'!I$7:I$20,_xlfn.AGGREGATE(15,6,(ROW('[1]Tổng hợp điểm'!$J$7:$J$20)-ROW('[1]Tổng hợp điểm'!$J$7)+1)/(('[1]Tổng hợp điểm'!$J$7:$J$20&lt;7)),11)),"")</f>
        <v>5.5</v>
      </c>
      <c r="J12" s="19">
        <f>IFERROR(INDEX('[1]Tổng hợp điểm'!J$7:J$20,_xlfn.AGGREGATE(15,6,(ROW('[1]Tổng hợp điểm'!$J$7:$J$20)-ROW('[1]Tổng hợp điểm'!$J$7)+1)/(('[1]Tổng hợp điểm'!$J$7:$J$20&lt;7)),11)),"")</f>
        <v>6.5</v>
      </c>
      <c r="K12" s="17" t="str">
        <f>IFERROR(INDEX('[1]Tổng hợp điểm'!K$7:K$20,_xlfn.AGGREGATE(15,6,(ROW('[1]Tổng hợp điểm'!$J$7:$J$20)-ROW('[1]Tổng hợp điểm'!$J$7)+1)/(('[1]Tổng hợp điểm'!$J$7:$J$20&lt;7)),11)),"")</f>
        <v>C+</v>
      </c>
    </row>
  </sheetData>
  <conditionalFormatting sqref="A2:K12">
    <cfRule type="expression" dxfId="2" priority="1">
      <formula>$A2&lt;&gt;""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&gt;= 7</vt:lpstr>
      <vt:lpstr>Sinh viên điểm &lt; 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student</cp:lastModifiedBy>
  <cp:revision>6</cp:revision>
  <dcterms:created xsi:type="dcterms:W3CDTF">2026-09-20T16:58:16Z</dcterms:created>
  <dcterms:modified xsi:type="dcterms:W3CDTF">2026-09-24T01:29:06Z</dcterms:modified>
  <dc:language>en-US</dc:language>
</cp:coreProperties>
</file>