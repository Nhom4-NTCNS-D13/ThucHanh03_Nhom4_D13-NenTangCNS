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ang\Downloads\"/>
    </mc:Choice>
  </mc:AlternateContent>
  <xr:revisionPtr revIDLastSave="0" documentId="11_89C88E6007529314253A3EF6A49201C0D999B045" xr6:coauthVersionLast="47" xr6:coauthVersionMax="47" xr10:uidLastSave="{00000000-0000-0000-0000-000000000000}"/>
  <bookViews>
    <workbookView xWindow="-120" yWindow="-120" windowWidth="38640" windowHeight="21120" tabRatio="500" activeTab="4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7" i="5" l="1"/>
  <c r="H20" i="1"/>
  <c r="I20" i="1" s="1"/>
  <c r="G20" i="1"/>
  <c r="J20" i="1" s="1"/>
  <c r="K20" i="1" s="1"/>
  <c r="F20" i="1"/>
  <c r="E20" i="1"/>
  <c r="D20" i="1"/>
  <c r="C20" i="1"/>
  <c r="H19" i="1"/>
  <c r="I19" i="1" s="1"/>
  <c r="G19" i="1"/>
  <c r="J19" i="1" s="1"/>
  <c r="K19" i="1" s="1"/>
  <c r="F19" i="1"/>
  <c r="E19" i="1"/>
  <c r="D19" i="1"/>
  <c r="C19" i="1"/>
  <c r="H18" i="1"/>
  <c r="G18" i="1"/>
  <c r="J18" i="1" s="1"/>
  <c r="K18" i="1" s="1"/>
  <c r="F18" i="1"/>
  <c r="E18" i="1"/>
  <c r="D18" i="1"/>
  <c r="I18" i="1" s="1"/>
  <c r="C18" i="1"/>
  <c r="H17" i="1"/>
  <c r="I17" i="1" s="1"/>
  <c r="G17" i="1"/>
  <c r="J17" i="1" s="1"/>
  <c r="K17" i="1" s="1"/>
  <c r="F17" i="1"/>
  <c r="E17" i="1"/>
  <c r="D17" i="1"/>
  <c r="C17" i="1"/>
  <c r="H16" i="1"/>
  <c r="I16" i="1" s="1"/>
  <c r="G16" i="1"/>
  <c r="J16" i="1" s="1"/>
  <c r="K16" i="1" s="1"/>
  <c r="F16" i="1"/>
  <c r="E16" i="1"/>
  <c r="D16" i="1"/>
  <c r="C16" i="1"/>
  <c r="I15" i="1"/>
  <c r="J15" i="1" s="1"/>
  <c r="K15" i="1" s="1"/>
  <c r="H15" i="1"/>
  <c r="G15" i="1"/>
  <c r="F15" i="1"/>
  <c r="E15" i="1"/>
  <c r="D15" i="1"/>
  <c r="C15" i="1"/>
  <c r="H14" i="1"/>
  <c r="I14" i="1" s="1"/>
  <c r="G14" i="1"/>
  <c r="J14" i="1" s="1"/>
  <c r="K14" i="1" s="1"/>
  <c r="F14" i="1"/>
  <c r="E14" i="1"/>
  <c r="D14" i="1"/>
  <c r="C14" i="1"/>
  <c r="H13" i="1"/>
  <c r="G13" i="1"/>
  <c r="F13" i="1"/>
  <c r="E13" i="1"/>
  <c r="D13" i="1"/>
  <c r="C13" i="1"/>
  <c r="H12" i="1"/>
  <c r="I12" i="1" s="1"/>
  <c r="G12" i="1"/>
  <c r="J12" i="1" s="1"/>
  <c r="K12" i="1" s="1"/>
  <c r="F12" i="1"/>
  <c r="E12" i="1"/>
  <c r="D12" i="1"/>
  <c r="C12" i="1"/>
  <c r="I11" i="1"/>
  <c r="J11" i="1" s="1"/>
  <c r="K11" i="1" s="1"/>
  <c r="H11" i="1"/>
  <c r="G11" i="1"/>
  <c r="F11" i="1"/>
  <c r="E11" i="1"/>
  <c r="D11" i="1"/>
  <c r="C11" i="1"/>
  <c r="H10" i="1"/>
  <c r="I10" i="1" s="1"/>
  <c r="G10" i="1"/>
  <c r="F10" i="1"/>
  <c r="E10" i="1"/>
  <c r="D10" i="1"/>
  <c r="C10" i="1"/>
  <c r="H9" i="1"/>
  <c r="I9" i="1" s="1"/>
  <c r="G9" i="1"/>
  <c r="J9" i="1" s="1"/>
  <c r="K9" i="1" s="1"/>
  <c r="F9" i="1"/>
  <c r="E9" i="1"/>
  <c r="D9" i="1"/>
  <c r="C9" i="1"/>
  <c r="H8" i="1"/>
  <c r="I8" i="1" s="1"/>
  <c r="J8" i="1" s="1"/>
  <c r="K8" i="1" s="1"/>
  <c r="G8" i="1"/>
  <c r="F8" i="1"/>
  <c r="E8" i="1"/>
  <c r="D8" i="1"/>
  <c r="C8" i="1"/>
  <c r="H7" i="1"/>
  <c r="I7" i="1" s="1"/>
  <c r="G7" i="1"/>
  <c r="J7" i="1" s="1"/>
  <c r="K7" i="1" s="1"/>
  <c r="F7" i="1"/>
  <c r="E7" i="1"/>
  <c r="D7" i="1"/>
  <c r="C7" i="1"/>
  <c r="J10" i="1" l="1"/>
  <c r="K10" i="1" s="1"/>
  <c r="I13" i="1"/>
  <c r="J13" i="1" s="1"/>
  <c r="K13" i="1" s="1"/>
  <c r="F24" i="5"/>
  <c r="F20" i="5" l="1"/>
  <c r="F21" i="5"/>
  <c r="F19" i="5"/>
  <c r="F18" i="5"/>
  <c r="F16" i="5"/>
  <c r="F17" i="5"/>
  <c r="F15" i="5"/>
  <c r="F14" i="5"/>
</calcChain>
</file>

<file path=xl/sharedStrings.xml><?xml version="1.0" encoding="utf-8"?>
<sst xmlns="http://schemas.openxmlformats.org/spreadsheetml/2006/main" count="206" uniqueCount="89">
  <si>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</si>
  <si>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</si>
  <si>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</si>
  <si>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</si>
  <si>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</si>
  <si>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</si>
  <si>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</si>
  <si>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</si>
  <si>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</si>
  <si>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</si>
  <si>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Vùng tiêu chuẩn dùng cho Advanced Filter (câu e)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</si>
  <si>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</si>
  <si>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</si>
  <si>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</si>
  <si>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</si>
  <si>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</si>
  <si>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</si>
  <si>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</si>
  <si>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</si>
  <si>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</si>
  <si>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</si>
  <si>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</si>
  <si>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</si>
  <si>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&lt;7</t>
  </si>
  <si>
    <t>1B1505915</t>
  </si>
  <si>
    <t>0B1509874</t>
  </si>
  <si>
    <t>0B1509929</t>
  </si>
  <si>
    <t>2B1605223</t>
  </si>
  <si>
    <t>&gt;=7</t>
  </si>
  <si>
    <t>B+</t>
  </si>
  <si>
    <t>0B1605235</t>
  </si>
  <si>
    <t>A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</si>
  <si>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</si>
  <si>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</si>
  <si>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</si>
  <si>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</si>
  <si>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</si>
  <si>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</si>
  <si>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</si>
  <si>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</si>
  <si>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</si>
  <si>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Họ và tên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</si>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</sst>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i/>
      <sz val="10"/>
      <color rgb="FF808080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3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3" sqref="F13"/>
    </sheetView>
  </sheetViews>
  <sheetFormatPr defaultColWidth="8.7109375" defaultRowHeight="15" x14ac:dyDescent="0.25"/>
  <cols>
    <col min="1" max="1" width="6" customWidth="1"/>
    <col min="2" max="2" width="12" customWidth="1"/>
    <col min="3" max="3" width="20" customWidth="1"/>
    <col min="4" max="6" width="9" customWidth="1"/>
    <col min="7" max="7" width="10" customWidth="1"/>
    <col min="8" max="9" width="9" customWidth="1"/>
    <col min="10" max="10" width="12" customWidth="1"/>
    <col min="11" max="11" width="9" customWidth="1"/>
    <col min="13" max="13" width="24" customWidth="1"/>
    <col min="14" max="14" width="12" customWidth="1"/>
  </cols>
  <sheetData>
    <row r="1" spans="1:14" ht="17.4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4" ht="15.75" x14ac:dyDescent="0.25">
      <c r="A2" s="6" t="s">
        <v>1</v>
      </c>
      <c r="B2" s="7">
        <v>1043</v>
      </c>
      <c r="C2" s="6" t="s">
        <v>2</v>
      </c>
      <c r="D2" s="7" t="s">
        <v>3</v>
      </c>
    </row>
    <row r="3" spans="1:14" ht="15.75" x14ac:dyDescent="0.25">
      <c r="A3" s="6" t="s">
        <v>4</v>
      </c>
      <c r="B3" s="7" t="s">
        <v>5</v>
      </c>
      <c r="C3" s="6" t="s">
        <v>6</v>
      </c>
      <c r="D3" s="7">
        <v>8</v>
      </c>
    </row>
    <row r="4" spans="1:14" ht="15.75" x14ac:dyDescent="0.25">
      <c r="A4" s="6" t="s">
        <v>7</v>
      </c>
      <c r="B4" s="7" t="s">
        <v>8</v>
      </c>
      <c r="C4" s="6" t="s">
        <v>9</v>
      </c>
      <c r="D4" s="7">
        <v>1</v>
      </c>
      <c r="M4" s="8" t="s">
        <v>10</v>
      </c>
    </row>
    <row r="6" spans="1:14" ht="48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9" t="s">
        <v>19</v>
      </c>
      <c r="J6" s="9" t="s">
        <v>20</v>
      </c>
      <c r="K6" s="9" t="s">
        <v>21</v>
      </c>
      <c r="M6" s="10" t="s">
        <v>20</v>
      </c>
    </row>
    <row r="7" spans="1:14" ht="15.75" x14ac:dyDescent="0.25">
      <c r="A7" s="11">
        <v>1</v>
      </c>
      <c r="B7" s="11" t="s">
        <v>22</v>
      </c>
      <c r="C7" s="11" t="str">
        <f>VLOOKUP(RIGHT($B7,8),'Các bảng tham chiếu &amp; Thống kê'!$B$14:$C$27,2,0)</f>
        <v>Nguyễn Văn Hiếu</v>
      </c>
      <c r="D7" s="11">
        <f>VLOOKUP(RIGHT($B7,8),'Điểm thực hành các buổi'!$B$3:$F$16,3,0)</f>
        <v>0.45</v>
      </c>
      <c r="E7" s="11">
        <f>VLOOKUP(RIGHT($B7,8),'Điểm thực hành các buổi'!$B$3:$F$16,4,0)</f>
        <v>0.25</v>
      </c>
      <c r="F7" s="11">
        <f>VLOOKUP(RIGHT($B7,8),'Điểm thực hành các buổi'!$B$3:$F$16,5,0)</f>
        <v>0.3</v>
      </c>
      <c r="G7" s="11">
        <f>VLOOKUP(RIGHT($B7,8),'Điểm bài tập lớn'!$B$3:$D$16,3,0)</f>
        <v>0.5</v>
      </c>
      <c r="H7" s="11">
        <f>VLOOKUP(RIGHT($B7,8),'Điểm lý thuyết'!$B$3:$D$16,3,0)</f>
        <v>4.2</v>
      </c>
      <c r="I7" s="12">
        <f t="shared" ref="I7:I20" si="0">ROUND(IF(H7=-3,0,D7+E7+F7+G7+0.6*H7),1)</f>
        <v>4</v>
      </c>
      <c r="J7" s="12">
        <f>IF(OR(G7=0,VALUE(LEFT($B7,1))&gt;2),0,ROUND(I7+VLOOKUP(VALUE(LEFT($B7,1)),'Các bảng tham chiếu &amp; Thống kê'!$E$3:$F$5,2,0),1))</f>
        <v>5</v>
      </c>
      <c r="K7" s="11" t="str">
        <f>VLOOKUP(J7,'Các bảng tham chiếu &amp; Thống kê'!$A$3:$B$10,2,1)</f>
        <v>D+</v>
      </c>
      <c r="M7" s="13" t="s">
        <v>23</v>
      </c>
    </row>
    <row r="8" spans="1:14" ht="15.75" x14ac:dyDescent="0.25">
      <c r="A8" s="11">
        <v>2</v>
      </c>
      <c r="B8" s="11" t="s">
        <v>24</v>
      </c>
      <c r="C8" s="11" t="str">
        <f>VLOOKUP(RIGHT($B8,8),'Các bảng tham chiếu &amp; Thống kê'!$B$14:$C$27,2,0)</f>
        <v>Lý Minh Trí</v>
      </c>
      <c r="D8" s="11">
        <f>VLOOKUP(RIGHT($B8,8),'Điểm thực hành các buổi'!$B$3:$F$16,3,0)</f>
        <v>0.5</v>
      </c>
      <c r="E8" s="11">
        <f>VLOOKUP(RIGHT($B8,8),'Điểm thực hành các buổi'!$B$3:$F$16,4,0)</f>
        <v>0.35</v>
      </c>
      <c r="F8" s="11">
        <f>VLOOKUP(RIGHT($B8,8),'Điểm thực hành các buổi'!$B$3:$F$16,5,0)</f>
        <v>0.4</v>
      </c>
      <c r="G8" s="11">
        <f>VLOOKUP(RIGHT($B8,8),'Điểm bài tập lớn'!$B$3:$D$16,3,0)</f>
        <v>1</v>
      </c>
      <c r="H8" s="11">
        <f>VLOOKUP(RIGHT($B8,8),'Điểm lý thuyết'!$B$3:$D$16,3,0)</f>
        <v>5.8</v>
      </c>
      <c r="I8" s="12">
        <f t="shared" si="0"/>
        <v>5.7</v>
      </c>
      <c r="J8" s="12">
        <f>IF(OR(G8=0,VALUE(LEFT($B8,1))&gt;2),0,ROUND(I8+VLOOKUP(VALUE(LEFT($B8,1)),'Các bảng tham chiếu &amp; Thống kê'!$E$3:$F$5,2,0),1))</f>
        <v>6.2</v>
      </c>
      <c r="K8" s="11" t="str">
        <f>VLOOKUP(J8,'Các bảng tham chiếu &amp; Thống kê'!$A$3:$B$10,2,1)</f>
        <v>C</v>
      </c>
    </row>
    <row r="9" spans="1:14" ht="15.75" x14ac:dyDescent="0.25">
      <c r="A9" s="11">
        <v>3</v>
      </c>
      <c r="B9" s="11" t="s">
        <v>25</v>
      </c>
      <c r="C9" s="11" t="str">
        <f>VLOOKUP(RIGHT($B9,8),'Các bảng tham chiếu &amp; Thống kê'!$B$14:$C$27,2,0)</f>
        <v>Nguyễn Kiều Mi</v>
      </c>
      <c r="D9" s="11">
        <f>VLOOKUP(RIGHT($B9,8),'Điểm thực hành các buổi'!$B$3:$F$16,3,0)</f>
        <v>0.25</v>
      </c>
      <c r="E9" s="11">
        <f>VLOOKUP(RIGHT($B9,8),'Điểm thực hành các buổi'!$B$3:$F$16,4,0)</f>
        <v>0.25</v>
      </c>
      <c r="F9" s="11">
        <f>VLOOKUP(RIGHT($B9,8),'Điểm thực hành các buổi'!$B$3:$F$16,5,0)</f>
        <v>0.3</v>
      </c>
      <c r="G9" s="11">
        <f>VLOOKUP(RIGHT($B9,8),'Điểm bài tập lớn'!$B$3:$D$16,3,0)</f>
        <v>0.5</v>
      </c>
      <c r="H9" s="11">
        <f>VLOOKUP(RIGHT($B9,8),'Điểm lý thuyết'!$B$3:$D$16,3,0)</f>
        <v>5.8</v>
      </c>
      <c r="I9" s="12">
        <f t="shared" si="0"/>
        <v>4.8</v>
      </c>
      <c r="J9" s="12">
        <f>IF(OR(G9=0,VALUE(LEFT($B9,1))&gt;2),0,ROUND(I9+VLOOKUP(VALUE(LEFT($B9,1)),'Các bảng tham chiếu &amp; Thống kê'!$E$3:$F$5,2,0),1))</f>
        <v>5.8</v>
      </c>
      <c r="K9" s="11" t="str">
        <f>VLOOKUP(J9,'Các bảng tham chiếu &amp; Thống kê'!$A$3:$B$10,2,1)</f>
        <v>C</v>
      </c>
    </row>
    <row r="10" spans="1:14" ht="28.5" x14ac:dyDescent="0.25">
      <c r="A10" s="11">
        <v>4</v>
      </c>
      <c r="B10" s="11" t="s">
        <v>26</v>
      </c>
      <c r="C10" s="11" t="str">
        <f>VLOOKUP(RIGHT($B10,8),'Các bảng tham chiếu &amp; Thống kê'!$B$14:$C$27,2,0)</f>
        <v>Đặng Duy Linh</v>
      </c>
      <c r="D10" s="11">
        <f>VLOOKUP(RIGHT($B10,8),'Điểm thực hành các buổi'!$B$3:$F$16,3,0)</f>
        <v>0.4</v>
      </c>
      <c r="E10" s="11">
        <f>VLOOKUP(RIGHT($B10,8),'Điểm thực hành các buổi'!$B$3:$F$16,4,0)</f>
        <v>0.25</v>
      </c>
      <c r="F10" s="11">
        <f>VLOOKUP(RIGHT($B10,8),'Điểm thực hành các buổi'!$B$3:$F$16,5,0)</f>
        <v>0.35</v>
      </c>
      <c r="G10" s="11">
        <f>VLOOKUP(RIGHT($B10,8),'Điểm bài tập lớn'!$B$3:$D$16,3,0)</f>
        <v>1</v>
      </c>
      <c r="H10" s="11">
        <f>VLOOKUP(RIGHT($B10,8),'Điểm lý thuyết'!$B$3:$D$16,3,0)</f>
        <v>4.5</v>
      </c>
      <c r="I10" s="12">
        <f t="shared" si="0"/>
        <v>4.7</v>
      </c>
      <c r="J10" s="12">
        <f>IF(OR(G10=0,VALUE(LEFT($B10,1))&gt;2),0,ROUND(I10+VLOOKUP(VALUE(LEFT($B10,1)),'Các bảng tham chiếu &amp; Thống kê'!$E$3:$F$5,2,0),1))</f>
        <v>5.7</v>
      </c>
      <c r="K10" s="11" t="str">
        <f>VLOOKUP(J10,'Các bảng tham chiếu &amp; Thống kê'!$A$3:$B$10,2,1)</f>
        <v>C</v>
      </c>
      <c r="M10" s="10" t="s">
        <v>20</v>
      </c>
      <c r="N10" s="10" t="s">
        <v>21</v>
      </c>
    </row>
    <row r="11" spans="1:14" ht="15.75" x14ac:dyDescent="0.25">
      <c r="A11" s="11">
        <v>5</v>
      </c>
      <c r="B11" s="11" t="s">
        <v>27</v>
      </c>
      <c r="C11" s="11" t="str">
        <f>VLOOKUP(RIGHT($B11,8),'Các bảng tham chiếu &amp; Thống kê'!$B$14:$C$27,2,0)</f>
        <v>Lê Thị Trúc Linh</v>
      </c>
      <c r="D11" s="11">
        <f>VLOOKUP(RIGHT($B11,8),'Điểm thực hành các buổi'!$B$3:$F$16,3,0)</f>
        <v>0.45</v>
      </c>
      <c r="E11" s="11">
        <f>VLOOKUP(RIGHT($B11,8),'Điểm thực hành các buổi'!$B$3:$F$16,4,0)</f>
        <v>0.4</v>
      </c>
      <c r="F11" s="11">
        <f>VLOOKUP(RIGHT($B11,8),'Điểm thực hành các buổi'!$B$3:$F$16,5,0)</f>
        <v>0.35</v>
      </c>
      <c r="G11" s="11">
        <f>VLOOKUP(RIGHT($B11,8),'Điểm bài tập lớn'!$B$3:$D$16,3,0)</f>
        <v>0.75</v>
      </c>
      <c r="H11" s="11">
        <f>VLOOKUP(RIGHT($B11,8),'Điểm lý thuyết'!$B$3:$D$16,3,0)</f>
        <v>5.5</v>
      </c>
      <c r="I11" s="12">
        <f t="shared" si="0"/>
        <v>5.3</v>
      </c>
      <c r="J11" s="12">
        <f>IF(OR(G11=0,VALUE(LEFT($B11,1))&gt;2),0,ROUND(I11+VLOOKUP(VALUE(LEFT($B11,1)),'Các bảng tham chiếu &amp; Thống kê'!$E$3:$F$5,2,0),1))</f>
        <v>5.6</v>
      </c>
      <c r="K11" s="11" t="str">
        <f>VLOOKUP(J11,'Các bảng tham chiếu &amp; Thống kê'!$A$3:$B$10,2,1)</f>
        <v>C</v>
      </c>
      <c r="M11" s="13" t="s">
        <v>28</v>
      </c>
      <c r="N11" s="13" t="s">
        <v>29</v>
      </c>
    </row>
    <row r="12" spans="1:14" ht="15.75" x14ac:dyDescent="0.25">
      <c r="A12" s="11">
        <v>6</v>
      </c>
      <c r="B12" s="11" t="s">
        <v>30</v>
      </c>
      <c r="C12" s="11" t="str">
        <f>VLOOKUP(RIGHT($B12,8),'Các bảng tham chiếu &amp; Thống kê'!$B$14:$C$27,2,0)</f>
        <v>Phạm Thị Huỳnh</v>
      </c>
      <c r="D12" s="11">
        <f>VLOOKUP(RIGHT($B12,8),'Điểm thực hành các buổi'!$B$3:$F$16,3,0)</f>
        <v>0.4</v>
      </c>
      <c r="E12" s="11">
        <f>VLOOKUP(RIGHT($B12,8),'Điểm thực hành các buổi'!$B$3:$F$16,4,0)</f>
        <v>0.45</v>
      </c>
      <c r="F12" s="11">
        <f>VLOOKUP(RIGHT($B12,8),'Điểm thực hành các buổi'!$B$3:$F$16,5,0)</f>
        <v>0.5</v>
      </c>
      <c r="G12" s="11">
        <f>VLOOKUP(RIGHT($B12,8),'Điểm bài tập lớn'!$B$3:$D$16,3,0)</f>
        <v>1.2</v>
      </c>
      <c r="H12" s="11">
        <f>VLOOKUP(RIGHT($B12,8),'Điểm lý thuyết'!$B$3:$D$16,3,0)</f>
        <v>7.5</v>
      </c>
      <c r="I12" s="12">
        <f t="shared" si="0"/>
        <v>7.1</v>
      </c>
      <c r="J12" s="12">
        <f>IF(OR(G12=0,VALUE(LEFT($B12,1))&gt;2),0,ROUND(I12+VLOOKUP(VALUE(LEFT($B12,1)),'Các bảng tham chiếu &amp; Thống kê'!$E$3:$F$5,2,0),1))</f>
        <v>8.1</v>
      </c>
      <c r="K12" s="11" t="str">
        <f>VLOOKUP(J12,'Các bảng tham chiếu &amp; Thống kê'!$A$3:$B$10,2,1)</f>
        <v>B+</v>
      </c>
      <c r="M12" s="13" t="s">
        <v>28</v>
      </c>
      <c r="N12" s="13" t="s">
        <v>31</v>
      </c>
    </row>
    <row r="13" spans="1:14" ht="15.75" x14ac:dyDescent="0.25">
      <c r="A13" s="11">
        <v>7</v>
      </c>
      <c r="B13" s="11" t="s">
        <v>32</v>
      </c>
      <c r="C13" s="11" t="str">
        <f>VLOOKUP(RIGHT($B13,8),'Các bảng tham chiếu &amp; Thống kê'!$B$14:$C$27,2,0)</f>
        <v>Lê Minh Thông</v>
      </c>
      <c r="D13" s="11">
        <f>VLOOKUP(RIGHT($B13,8),'Điểm thực hành các buổi'!$B$3:$F$16,3,0)</f>
        <v>0.4</v>
      </c>
      <c r="E13" s="11">
        <f>VLOOKUP(RIGHT($B13,8),'Điểm thực hành các buổi'!$B$3:$F$16,4,0)</f>
        <v>0.4</v>
      </c>
      <c r="F13" s="11">
        <f>VLOOKUP(RIGHT($B13,8),'Điểm thực hành các buổi'!$B$3:$F$16,5,0)</f>
        <v>0.4</v>
      </c>
      <c r="G13" s="11">
        <f>VLOOKUP(RIGHT($B13,8),'Điểm bài tập lớn'!$B$3:$D$16,3,0)</f>
        <v>1</v>
      </c>
      <c r="H13" s="11">
        <f>VLOOKUP(RIGHT($B13,8),'Điểm lý thuyết'!$B$3:$D$16,3,0)</f>
        <v>5.3</v>
      </c>
      <c r="I13" s="12">
        <f t="shared" si="0"/>
        <v>5.4</v>
      </c>
      <c r="J13" s="12">
        <f>IF(OR(G13=0,VALUE(LEFT($B13,1))&gt;2),0,ROUND(I13+VLOOKUP(VALUE(LEFT($B13,1)),'Các bảng tham chiếu &amp; Thống kê'!$E$3:$F$5,2,0),1))</f>
        <v>6.4</v>
      </c>
      <c r="K13" s="11" t="str">
        <f>VLOOKUP(J13,'Các bảng tham chiếu &amp; Thống kê'!$A$3:$B$10,2,1)</f>
        <v>C</v>
      </c>
    </row>
    <row r="14" spans="1:14" ht="15.75" x14ac:dyDescent="0.25">
      <c r="A14" s="11">
        <v>8</v>
      </c>
      <c r="B14" s="11" t="s">
        <v>33</v>
      </c>
      <c r="C14" s="11" t="str">
        <f>VLOOKUP(RIGHT($B14,8),'Các bảng tham chiếu &amp; Thống kê'!$B$14:$C$27,2,0)</f>
        <v>Huỳnh Thị Diễm</v>
      </c>
      <c r="D14" s="11">
        <f>VLOOKUP(RIGHT($B14,8),'Điểm thực hành các buổi'!$B$3:$F$16,3,0)</f>
        <v>0.45</v>
      </c>
      <c r="E14" s="11">
        <f>VLOOKUP(RIGHT($B14,8),'Điểm thực hành các buổi'!$B$3:$F$16,4,0)</f>
        <v>0.4</v>
      </c>
      <c r="F14" s="11">
        <f>VLOOKUP(RIGHT($B14,8),'Điểm thực hành các buổi'!$B$3:$F$16,5,0)</f>
        <v>0.45</v>
      </c>
      <c r="G14" s="11">
        <f>VLOOKUP(RIGHT($B14,8),'Điểm bài tập lớn'!$B$3:$D$16,3,0)</f>
        <v>0</v>
      </c>
      <c r="H14" s="11">
        <f>VLOOKUP(RIGHT($B14,8),'Điểm lý thuyết'!$B$3:$D$16,3,0)</f>
        <v>6.8</v>
      </c>
      <c r="I14" s="12">
        <f t="shared" si="0"/>
        <v>5.4</v>
      </c>
      <c r="J14" s="12">
        <f>IF(OR(G14=0,VALUE(LEFT($B14,1))&gt;2),0,ROUND(I14+VLOOKUP(VALUE(LEFT($B14,1)),'Các bảng tham chiếu &amp; Thống kê'!$E$3:$F$5,2,0),1))</f>
        <v>0</v>
      </c>
      <c r="K14" s="11" t="str">
        <f>VLOOKUP(J14,'Các bảng tham chiếu &amp; Thống kê'!$A$3:$B$10,2,1)</f>
        <v>F</v>
      </c>
    </row>
    <row r="15" spans="1:14" ht="15.75" x14ac:dyDescent="0.25">
      <c r="A15" s="11">
        <v>9</v>
      </c>
      <c r="B15" s="11" t="s">
        <v>34</v>
      </c>
      <c r="C15" s="11" t="str">
        <f>VLOOKUP(RIGHT($B15,8),'Các bảng tham chiếu &amp; Thống kê'!$B$14:$C$27,2,0)</f>
        <v>Trần Thanh Nguyên</v>
      </c>
      <c r="D15" s="11">
        <f>VLOOKUP(RIGHT($B15,8),'Điểm thực hành các buổi'!$B$3:$F$16,3,0)</f>
        <v>0.45</v>
      </c>
      <c r="E15" s="11">
        <f>VLOOKUP(RIGHT($B15,8),'Điểm thực hành các buổi'!$B$3:$F$16,4,0)</f>
        <v>0.4</v>
      </c>
      <c r="F15" s="11">
        <f>VLOOKUP(RIGHT($B15,8),'Điểm thực hành các buổi'!$B$3:$F$16,5,0)</f>
        <v>0.4</v>
      </c>
      <c r="G15" s="11">
        <f>VLOOKUP(RIGHT($B15,8),'Điểm bài tập lớn'!$B$3:$D$16,3,0)</f>
        <v>0.75</v>
      </c>
      <c r="H15" s="11">
        <f>VLOOKUP(RIGHT($B15,8),'Điểm lý thuyết'!$B$3:$D$16,3,0)</f>
        <v>6.3</v>
      </c>
      <c r="I15" s="12">
        <f t="shared" si="0"/>
        <v>5.8</v>
      </c>
      <c r="J15" s="12">
        <f>IF(OR(G15=0,VALUE(LEFT($B15,1))&gt;2),0,ROUND(I15+VLOOKUP(VALUE(LEFT($B15,1)),'Các bảng tham chiếu &amp; Thống kê'!$E$3:$F$5,2,0),1))</f>
        <v>6.8</v>
      </c>
      <c r="K15" s="11" t="str">
        <f>VLOOKUP(J15,'Các bảng tham chiếu &amp; Thống kê'!$A$3:$B$10,2,1)</f>
        <v>C+</v>
      </c>
    </row>
    <row r="16" spans="1:14" ht="15.75" x14ac:dyDescent="0.25">
      <c r="A16" s="11">
        <v>10</v>
      </c>
      <c r="B16" s="11" t="s">
        <v>35</v>
      </c>
      <c r="C16" s="11" t="str">
        <f>VLOOKUP(RIGHT($B16,8),'Các bảng tham chiếu &amp; Thống kê'!$B$14:$C$27,2,0)</f>
        <v>Nguyễn Thị Đào</v>
      </c>
      <c r="D16" s="11">
        <f>VLOOKUP(RIGHT($B16,8),'Điểm thực hành các buổi'!$B$3:$F$16,3,0)</f>
        <v>0.3</v>
      </c>
      <c r="E16" s="11">
        <f>VLOOKUP(RIGHT($B16,8),'Điểm thực hành các buổi'!$B$3:$F$16,4,0)</f>
        <v>0.5</v>
      </c>
      <c r="F16" s="11">
        <f>VLOOKUP(RIGHT($B16,8),'Điểm thực hành các buổi'!$B$3:$F$16,5,0)</f>
        <v>0.45</v>
      </c>
      <c r="G16" s="11">
        <f>VLOOKUP(RIGHT($B16,8),'Điểm bài tập lớn'!$B$3:$D$16,3,0)</f>
        <v>0.3</v>
      </c>
      <c r="H16" s="11">
        <f>VLOOKUP(RIGHT($B16,8),'Điểm lý thuyết'!$B$3:$D$16,3,0)</f>
        <v>8.3000000000000007</v>
      </c>
      <c r="I16" s="12">
        <f t="shared" si="0"/>
        <v>6.5</v>
      </c>
      <c r="J16" s="12">
        <f>IF(OR(G16=0,VALUE(LEFT($B16,1))&gt;2),0,ROUND(I16+VLOOKUP(VALUE(LEFT($B16,1)),'Các bảng tham chiếu &amp; Thống kê'!$E$3:$F$5,2,0),1))</f>
        <v>7</v>
      </c>
      <c r="K16" s="11" t="str">
        <f>VLOOKUP(J16,'Các bảng tham chiếu &amp; Thống kê'!$A$3:$B$10,2,1)</f>
        <v>B</v>
      </c>
    </row>
    <row r="17" spans="1:11" ht="15.75" x14ac:dyDescent="0.25">
      <c r="A17" s="11">
        <v>11</v>
      </c>
      <c r="B17" s="11" t="s">
        <v>36</v>
      </c>
      <c r="C17" s="11" t="str">
        <f>VLOOKUP(RIGHT($B17,8),'Các bảng tham chiếu &amp; Thống kê'!$B$14:$C$27,2,0)</f>
        <v>Nguyễn Chí Thanh</v>
      </c>
      <c r="D17" s="11">
        <f>VLOOKUP(RIGHT($B17,8),'Điểm thực hành các buổi'!$B$3:$F$16,3,0)</f>
        <v>0.4</v>
      </c>
      <c r="E17" s="11">
        <f>VLOOKUP(RIGHT($B17,8),'Điểm thực hành các buổi'!$B$3:$F$16,4,0)</f>
        <v>0.45</v>
      </c>
      <c r="F17" s="11">
        <f>VLOOKUP(RIGHT($B17,8),'Điểm thực hành các buổi'!$B$3:$F$16,5,0)</f>
        <v>0.4</v>
      </c>
      <c r="G17" s="11">
        <f>VLOOKUP(RIGHT($B17,8),'Điểm bài tập lớn'!$B$3:$D$16,3,0)</f>
        <v>0.3</v>
      </c>
      <c r="H17" s="11">
        <f>VLOOKUP(RIGHT($B17,8),'Điểm lý thuyết'!$B$3:$D$16,3,0)</f>
        <v>-3</v>
      </c>
      <c r="I17" s="12">
        <f t="shared" si="0"/>
        <v>0</v>
      </c>
      <c r="J17" s="12">
        <f>IF(OR(G17=0,VALUE(LEFT($B17,1))&gt;2),0,ROUND(I17+VLOOKUP(VALUE(LEFT($B17,1)),'Các bảng tham chiếu &amp; Thống kê'!$E$3:$F$5,2,0),1))</f>
        <v>0</v>
      </c>
      <c r="K17" s="11" t="str">
        <f>VLOOKUP(J17,'Các bảng tham chiếu &amp; Thống kê'!$A$3:$B$10,2,1)</f>
        <v>F</v>
      </c>
    </row>
    <row r="18" spans="1:11" ht="15.75" x14ac:dyDescent="0.25">
      <c r="A18" s="11">
        <v>12</v>
      </c>
      <c r="B18" s="11" t="s">
        <v>37</v>
      </c>
      <c r="C18" s="11" t="str">
        <f>VLOOKUP(RIGHT($B18,8),'Các bảng tham chiếu &amp; Thống kê'!$B$14:$C$27,2,0)</f>
        <v>Nguyễn Hải Anh</v>
      </c>
      <c r="D18" s="11">
        <f>VLOOKUP(RIGHT($B18,8),'Điểm thực hành các buổi'!$B$3:$F$16,3,0)</f>
        <v>0.5</v>
      </c>
      <c r="E18" s="11">
        <f>VLOOKUP(RIGHT($B18,8),'Điểm thực hành các buổi'!$B$3:$F$16,4,0)</f>
        <v>0.5</v>
      </c>
      <c r="F18" s="11">
        <f>VLOOKUP(RIGHT($B18,8),'Điểm thực hành các buổi'!$B$3:$F$16,5,0)</f>
        <v>0.45</v>
      </c>
      <c r="G18" s="11">
        <f>VLOOKUP(RIGHT($B18,8),'Điểm bài tập lớn'!$B$3:$D$16,3,0)</f>
        <v>1.5</v>
      </c>
      <c r="H18" s="11">
        <f>VLOOKUP(RIGHT($B18,8),'Điểm lý thuyết'!$B$3:$D$16,3,0)</f>
        <v>7</v>
      </c>
      <c r="I18" s="12">
        <f t="shared" si="0"/>
        <v>7.2</v>
      </c>
      <c r="J18" s="12">
        <f>IF(OR(G18=0,VALUE(LEFT($B18,1))&gt;2),0,ROUND(I18+VLOOKUP(VALUE(LEFT($B18,1)),'Các bảng tham chiếu &amp; Thống kê'!$E$3:$F$5,2,0),1))</f>
        <v>7.5</v>
      </c>
      <c r="K18" s="11" t="str">
        <f>VLOOKUP(J18,'Các bảng tham chiếu &amp; Thống kê'!$A$3:$B$10,2,1)</f>
        <v>B</v>
      </c>
    </row>
    <row r="19" spans="1:11" ht="15.75" x14ac:dyDescent="0.25">
      <c r="A19" s="11">
        <v>13</v>
      </c>
      <c r="B19" s="11" t="s">
        <v>38</v>
      </c>
      <c r="C19" s="11" t="str">
        <f>VLOOKUP(RIGHT($B19,8),'Các bảng tham chiếu &amp; Thống kê'!$B$14:$C$27,2,0)</f>
        <v>Trần Nam Dương</v>
      </c>
      <c r="D19" s="11">
        <f>VLOOKUP(RIGHT($B19,8),'Điểm thực hành các buổi'!$B$3:$F$16,3,0)</f>
        <v>0.4</v>
      </c>
      <c r="E19" s="11">
        <f>VLOOKUP(RIGHT($B19,8),'Điểm thực hành các buổi'!$B$3:$F$16,4,0)</f>
        <v>0.4</v>
      </c>
      <c r="F19" s="11">
        <f>VLOOKUP(RIGHT($B19,8),'Điểm thực hành các buổi'!$B$3:$F$16,5,0)</f>
        <v>0.35</v>
      </c>
      <c r="G19" s="11">
        <f>VLOOKUP(RIGHT($B19,8),'Điểm bài tập lớn'!$B$3:$D$16,3,0)</f>
        <v>1.35</v>
      </c>
      <c r="H19" s="11">
        <f>VLOOKUP(RIGHT($B19,8),'Điểm lý thuyết'!$B$3:$D$16,3,0)</f>
        <v>-3</v>
      </c>
      <c r="I19" s="12">
        <f t="shared" si="0"/>
        <v>0</v>
      </c>
      <c r="J19" s="12">
        <f>IF(OR(G19=0,VALUE(LEFT($B19,1))&gt;2),0,ROUND(I19+VLOOKUP(VALUE(LEFT($B19,1)),'Các bảng tham chiếu &amp; Thống kê'!$E$3:$F$5,2,0),1))</f>
        <v>0</v>
      </c>
      <c r="K19" s="11" t="str">
        <f>VLOOKUP(J19,'Các bảng tham chiếu &amp; Thống kê'!$A$3:$B$10,2,1)</f>
        <v>F</v>
      </c>
    </row>
    <row r="20" spans="1:11" ht="15.75" x14ac:dyDescent="0.25">
      <c r="A20" s="11">
        <v>14</v>
      </c>
      <c r="B20" s="11" t="s">
        <v>39</v>
      </c>
      <c r="C20" s="11" t="str">
        <f>VLOOKUP(RIGHT($B20,8),'Các bảng tham chiếu &amp; Thống kê'!$B$14:$C$27,2,0)</f>
        <v>Nguyễn Duy Khanh</v>
      </c>
      <c r="D20" s="11">
        <f>VLOOKUP(RIGHT($B20,8),'Điểm thực hành các buổi'!$B$3:$F$16,3,0)</f>
        <v>0.35</v>
      </c>
      <c r="E20" s="11">
        <f>VLOOKUP(RIGHT($B20,8),'Điểm thực hành các buổi'!$B$3:$F$16,4,0)</f>
        <v>0.4</v>
      </c>
      <c r="F20" s="11">
        <f>VLOOKUP(RIGHT($B20,8),'Điểm thực hành các buổi'!$B$3:$F$16,5,0)</f>
        <v>0</v>
      </c>
      <c r="G20" s="11">
        <f>VLOOKUP(RIGHT($B20,8),'Điểm bài tập lớn'!$B$3:$D$16,3,0)</f>
        <v>0.85</v>
      </c>
      <c r="H20" s="11">
        <f>VLOOKUP(RIGHT($B20,8),'Điểm lý thuyết'!$B$3:$D$16,3,0)</f>
        <v>6.5</v>
      </c>
      <c r="I20" s="12">
        <f t="shared" si="0"/>
        <v>5.5</v>
      </c>
      <c r="J20" s="12">
        <f>IF(OR(G20=0,VALUE(LEFT($B20,1))&gt;2),0,ROUND(I20+VLOOKUP(VALUE(LEFT($B20,1)),'Các bảng tham chiếu &amp; Thống kê'!$E$3:$F$5,2,0),1))</f>
        <v>6.5</v>
      </c>
      <c r="K20" s="11" t="str">
        <f>VLOOKUP(J20,'Các bảng tham chiếu &amp; Thống kê'!$A$3:$B$10,2,1)</f>
        <v>C+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selection activeCell="D2" sqref="D2"/>
    </sheetView>
  </sheetViews>
  <sheetFormatPr defaultColWidth="8.7109375" defaultRowHeight="15" x14ac:dyDescent="0.25"/>
  <cols>
    <col min="1" max="1" width="6" customWidth="1"/>
    <col min="2" max="2" width="12" customWidth="1"/>
    <col min="3" max="3" width="22" customWidth="1"/>
    <col min="4" max="6" width="10" customWidth="1"/>
  </cols>
  <sheetData>
    <row r="1" spans="1:6" ht="16.149999999999999" customHeight="1" x14ac:dyDescent="0.25">
      <c r="A1" s="4" t="s">
        <v>40</v>
      </c>
      <c r="B1" s="4"/>
      <c r="C1" s="4"/>
      <c r="D1" s="4"/>
      <c r="E1" s="4"/>
      <c r="F1" s="4"/>
    </row>
    <row r="2" spans="1:6" ht="30" customHeight="1" x14ac:dyDescent="0.25">
      <c r="A2" s="9" t="s">
        <v>11</v>
      </c>
      <c r="B2" s="9" t="s">
        <v>12</v>
      </c>
      <c r="C2" s="9" t="s">
        <v>41</v>
      </c>
      <c r="D2" s="9" t="s">
        <v>14</v>
      </c>
      <c r="E2" s="9" t="s">
        <v>15</v>
      </c>
      <c r="F2" s="9" t="s">
        <v>16</v>
      </c>
    </row>
    <row r="3" spans="1:6" ht="15.75" x14ac:dyDescent="0.25">
      <c r="A3" s="11">
        <v>1</v>
      </c>
      <c r="B3" s="11" t="s">
        <v>42</v>
      </c>
      <c r="C3" s="14" t="s">
        <v>43</v>
      </c>
      <c r="D3" s="11">
        <v>0.45</v>
      </c>
      <c r="E3" s="11">
        <v>0.25</v>
      </c>
      <c r="F3" s="11">
        <v>0.3</v>
      </c>
    </row>
    <row r="4" spans="1:6" ht="15.75" x14ac:dyDescent="0.25">
      <c r="A4" s="11">
        <v>2</v>
      </c>
      <c r="B4" s="11" t="s">
        <v>44</v>
      </c>
      <c r="C4" s="14" t="s">
        <v>45</v>
      </c>
      <c r="D4" s="11">
        <v>0.5</v>
      </c>
      <c r="E4" s="11">
        <v>0.35</v>
      </c>
      <c r="F4" s="11">
        <v>0.4</v>
      </c>
    </row>
    <row r="5" spans="1:6" ht="15.75" x14ac:dyDescent="0.25">
      <c r="A5" s="11">
        <v>3</v>
      </c>
      <c r="B5" s="11" t="s">
        <v>46</v>
      </c>
      <c r="C5" s="14" t="s">
        <v>47</v>
      </c>
      <c r="D5" s="11">
        <v>0.25</v>
      </c>
      <c r="E5" s="11">
        <v>0.25</v>
      </c>
      <c r="F5" s="11">
        <v>0.3</v>
      </c>
    </row>
    <row r="6" spans="1:6" ht="15.75" x14ac:dyDescent="0.25">
      <c r="A6" s="11">
        <v>4</v>
      </c>
      <c r="B6" s="11" t="s">
        <v>48</v>
      </c>
      <c r="C6" s="14" t="s">
        <v>49</v>
      </c>
      <c r="D6" s="11">
        <v>0.4</v>
      </c>
      <c r="E6" s="11">
        <v>0.25</v>
      </c>
      <c r="F6" s="11">
        <v>0.35</v>
      </c>
    </row>
    <row r="7" spans="1:6" ht="15.75" x14ac:dyDescent="0.25">
      <c r="A7" s="11">
        <v>5</v>
      </c>
      <c r="B7" s="11" t="s">
        <v>50</v>
      </c>
      <c r="C7" s="14" t="s">
        <v>51</v>
      </c>
      <c r="D7" s="11">
        <v>0.45</v>
      </c>
      <c r="E7" s="11">
        <v>0.4</v>
      </c>
      <c r="F7" s="11">
        <v>0.35</v>
      </c>
    </row>
    <row r="8" spans="1:6" ht="15.75" x14ac:dyDescent="0.25">
      <c r="A8" s="11">
        <v>6</v>
      </c>
      <c r="B8" s="11" t="s">
        <v>52</v>
      </c>
      <c r="C8" s="14" t="s">
        <v>53</v>
      </c>
      <c r="D8" s="11">
        <v>0.4</v>
      </c>
      <c r="E8" s="11">
        <v>0.45</v>
      </c>
      <c r="F8" s="11">
        <v>0.5</v>
      </c>
    </row>
    <row r="9" spans="1:6" ht="15.75" x14ac:dyDescent="0.25">
      <c r="A9" s="11">
        <v>7</v>
      </c>
      <c r="B9" s="11" t="s">
        <v>54</v>
      </c>
      <c r="C9" s="14" t="s">
        <v>55</v>
      </c>
      <c r="D9" s="11">
        <v>0.4</v>
      </c>
      <c r="E9" s="11">
        <v>0.4</v>
      </c>
      <c r="F9" s="11">
        <v>0.4</v>
      </c>
    </row>
    <row r="10" spans="1:6" ht="15.75" x14ac:dyDescent="0.25">
      <c r="A10" s="11">
        <v>8</v>
      </c>
      <c r="B10" s="11" t="s">
        <v>56</v>
      </c>
      <c r="C10" s="14" t="s">
        <v>57</v>
      </c>
      <c r="D10" s="11">
        <v>0.45</v>
      </c>
      <c r="E10" s="11">
        <v>0.4</v>
      </c>
      <c r="F10" s="11">
        <v>0.45</v>
      </c>
    </row>
    <row r="11" spans="1:6" ht="15.75" x14ac:dyDescent="0.25">
      <c r="A11" s="11">
        <v>9</v>
      </c>
      <c r="B11" s="11" t="s">
        <v>58</v>
      </c>
      <c r="C11" s="14" t="s">
        <v>59</v>
      </c>
      <c r="D11" s="11">
        <v>0.45</v>
      </c>
      <c r="E11" s="11">
        <v>0.4</v>
      </c>
      <c r="F11" s="11">
        <v>0.4</v>
      </c>
    </row>
    <row r="12" spans="1:6" ht="15.75" x14ac:dyDescent="0.25">
      <c r="A12" s="11">
        <v>10</v>
      </c>
      <c r="B12" s="11" t="s">
        <v>60</v>
      </c>
      <c r="C12" s="14" t="s">
        <v>61</v>
      </c>
      <c r="D12" s="11">
        <v>0.3</v>
      </c>
      <c r="E12" s="11">
        <v>0.5</v>
      </c>
      <c r="F12" s="11">
        <v>0.45</v>
      </c>
    </row>
    <row r="13" spans="1:6" ht="15.75" x14ac:dyDescent="0.25">
      <c r="A13" s="11">
        <v>11</v>
      </c>
      <c r="B13" s="11" t="s">
        <v>62</v>
      </c>
      <c r="C13" s="14" t="s">
        <v>63</v>
      </c>
      <c r="D13" s="11">
        <v>0.4</v>
      </c>
      <c r="E13" s="11">
        <v>0.45</v>
      </c>
      <c r="F13" s="11">
        <v>0.4</v>
      </c>
    </row>
    <row r="14" spans="1:6" ht="15.75" x14ac:dyDescent="0.25">
      <c r="A14" s="11">
        <v>12</v>
      </c>
      <c r="B14" s="11" t="s">
        <v>64</v>
      </c>
      <c r="C14" s="14" t="s">
        <v>65</v>
      </c>
      <c r="D14" s="11">
        <v>0.5</v>
      </c>
      <c r="E14" s="11">
        <v>0.5</v>
      </c>
      <c r="F14" s="11">
        <v>0.45</v>
      </c>
    </row>
    <row r="15" spans="1:6" ht="15.75" x14ac:dyDescent="0.25">
      <c r="A15" s="11">
        <v>13</v>
      </c>
      <c r="B15" s="11" t="s">
        <v>66</v>
      </c>
      <c r="C15" s="14" t="s">
        <v>67</v>
      </c>
      <c r="D15" s="11">
        <v>0.4</v>
      </c>
      <c r="E15" s="11">
        <v>0.4</v>
      </c>
      <c r="F15" s="11">
        <v>0.35</v>
      </c>
    </row>
    <row r="16" spans="1:6" ht="15.75" x14ac:dyDescent="0.25">
      <c r="A16" s="11">
        <v>14</v>
      </c>
      <c r="B16" s="11" t="s">
        <v>68</v>
      </c>
      <c r="C16" s="14" t="s">
        <v>69</v>
      </c>
      <c r="D16" s="11">
        <v>0.35</v>
      </c>
      <c r="E16" s="11">
        <v>0.4</v>
      </c>
      <c r="F16" s="11"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6" customWidth="1"/>
    <col min="2" max="2" width="12" customWidth="1"/>
    <col min="3" max="3" width="22" customWidth="1"/>
    <col min="4" max="4" width="12" customWidth="1"/>
  </cols>
  <sheetData>
    <row r="1" spans="1:4" ht="16.149999999999999" customHeight="1" x14ac:dyDescent="0.25">
      <c r="A1" s="4" t="s">
        <v>70</v>
      </c>
      <c r="B1" s="4"/>
      <c r="C1" s="4"/>
      <c r="D1" s="4"/>
    </row>
    <row r="2" spans="1:4" ht="30" customHeight="1" x14ac:dyDescent="0.25">
      <c r="A2" s="9" t="s">
        <v>11</v>
      </c>
      <c r="B2" s="9" t="s">
        <v>12</v>
      </c>
      <c r="C2" s="9" t="s">
        <v>41</v>
      </c>
      <c r="D2" s="9" t="s">
        <v>17</v>
      </c>
    </row>
    <row r="3" spans="1:4" ht="15.75" x14ac:dyDescent="0.25">
      <c r="A3" s="11">
        <v>1</v>
      </c>
      <c r="B3" s="11" t="s">
        <v>42</v>
      </c>
      <c r="C3" s="14" t="s">
        <v>43</v>
      </c>
      <c r="D3" s="11">
        <v>0.5</v>
      </c>
    </row>
    <row r="4" spans="1:4" ht="15.75" x14ac:dyDescent="0.25">
      <c r="A4" s="11">
        <v>2</v>
      </c>
      <c r="B4" s="11" t="s">
        <v>44</v>
      </c>
      <c r="C4" s="14" t="s">
        <v>45</v>
      </c>
      <c r="D4" s="11">
        <v>1</v>
      </c>
    </row>
    <row r="5" spans="1:4" ht="15.75" x14ac:dyDescent="0.25">
      <c r="A5" s="11">
        <v>3</v>
      </c>
      <c r="B5" s="11" t="s">
        <v>46</v>
      </c>
      <c r="C5" s="14" t="s">
        <v>47</v>
      </c>
      <c r="D5" s="11">
        <v>0.5</v>
      </c>
    </row>
    <row r="6" spans="1:4" ht="15.75" x14ac:dyDescent="0.25">
      <c r="A6" s="11">
        <v>4</v>
      </c>
      <c r="B6" s="11" t="s">
        <v>48</v>
      </c>
      <c r="C6" s="14" t="s">
        <v>49</v>
      </c>
      <c r="D6" s="11">
        <v>1</v>
      </c>
    </row>
    <row r="7" spans="1:4" ht="15.75" x14ac:dyDescent="0.25">
      <c r="A7" s="11">
        <v>5</v>
      </c>
      <c r="B7" s="11" t="s">
        <v>50</v>
      </c>
      <c r="C7" s="14" t="s">
        <v>51</v>
      </c>
      <c r="D7" s="11">
        <v>0.75</v>
      </c>
    </row>
    <row r="8" spans="1:4" ht="15.75" x14ac:dyDescent="0.25">
      <c r="A8" s="11">
        <v>6</v>
      </c>
      <c r="B8" s="11" t="s">
        <v>52</v>
      </c>
      <c r="C8" s="14" t="s">
        <v>53</v>
      </c>
      <c r="D8" s="11">
        <v>1.2</v>
      </c>
    </row>
    <row r="9" spans="1:4" ht="15.75" x14ac:dyDescent="0.25">
      <c r="A9" s="11">
        <v>7</v>
      </c>
      <c r="B9" s="11" t="s">
        <v>54</v>
      </c>
      <c r="C9" s="14" t="s">
        <v>55</v>
      </c>
      <c r="D9" s="11">
        <v>1</v>
      </c>
    </row>
    <row r="10" spans="1:4" ht="15.75" x14ac:dyDescent="0.25">
      <c r="A10" s="11">
        <v>8</v>
      </c>
      <c r="B10" s="11" t="s">
        <v>56</v>
      </c>
      <c r="C10" s="14" t="s">
        <v>57</v>
      </c>
      <c r="D10" s="11">
        <v>0</v>
      </c>
    </row>
    <row r="11" spans="1:4" ht="15.75" x14ac:dyDescent="0.25">
      <c r="A11" s="11">
        <v>9</v>
      </c>
      <c r="B11" s="11" t="s">
        <v>58</v>
      </c>
      <c r="C11" s="14" t="s">
        <v>59</v>
      </c>
      <c r="D11" s="11">
        <v>0.75</v>
      </c>
    </row>
    <row r="12" spans="1:4" ht="15.75" x14ac:dyDescent="0.25">
      <c r="A12" s="11">
        <v>10</v>
      </c>
      <c r="B12" s="11" t="s">
        <v>60</v>
      </c>
      <c r="C12" s="14" t="s">
        <v>61</v>
      </c>
      <c r="D12" s="11">
        <v>0.3</v>
      </c>
    </row>
    <row r="13" spans="1:4" ht="15.75" x14ac:dyDescent="0.25">
      <c r="A13" s="11">
        <v>11</v>
      </c>
      <c r="B13" s="11" t="s">
        <v>62</v>
      </c>
      <c r="C13" s="14" t="s">
        <v>63</v>
      </c>
      <c r="D13" s="11">
        <v>0.3</v>
      </c>
    </row>
    <row r="14" spans="1:4" ht="15.75" x14ac:dyDescent="0.25">
      <c r="A14" s="11">
        <v>12</v>
      </c>
      <c r="B14" s="11" t="s">
        <v>64</v>
      </c>
      <c r="C14" s="14" t="s">
        <v>65</v>
      </c>
      <c r="D14" s="11">
        <v>1.5</v>
      </c>
    </row>
    <row r="15" spans="1:4" ht="15.75" x14ac:dyDescent="0.25">
      <c r="A15" s="11">
        <v>13</v>
      </c>
      <c r="B15" s="11" t="s">
        <v>66</v>
      </c>
      <c r="C15" s="14" t="s">
        <v>67</v>
      </c>
      <c r="D15" s="11">
        <v>1.35</v>
      </c>
    </row>
    <row r="16" spans="1:4" ht="15.75" x14ac:dyDescent="0.25">
      <c r="A16" s="11">
        <v>14</v>
      </c>
      <c r="B16" s="11" t="s">
        <v>68</v>
      </c>
      <c r="C16" s="14" t="s">
        <v>69</v>
      </c>
      <c r="D16" s="11">
        <v>0.85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activeCell="D3" sqref="D3"/>
    </sheetView>
  </sheetViews>
  <sheetFormatPr defaultColWidth="8.7109375" defaultRowHeight="15" x14ac:dyDescent="0.25"/>
  <cols>
    <col min="1" max="1" width="6" customWidth="1"/>
    <col min="2" max="2" width="12" customWidth="1"/>
    <col min="3" max="3" width="22" customWidth="1"/>
    <col min="4" max="4" width="13" customWidth="1"/>
  </cols>
  <sheetData>
    <row r="1" spans="1:4" ht="16.149999999999999" customHeight="1" x14ac:dyDescent="0.25">
      <c r="A1" s="4" t="s">
        <v>71</v>
      </c>
      <c r="B1" s="4"/>
      <c r="C1" s="4"/>
      <c r="D1" s="4"/>
    </row>
    <row r="2" spans="1:4" ht="30" customHeight="1" x14ac:dyDescent="0.25">
      <c r="A2" s="9" t="s">
        <v>11</v>
      </c>
      <c r="B2" s="9" t="s">
        <v>12</v>
      </c>
      <c r="C2" s="9" t="s">
        <v>13</v>
      </c>
      <c r="D2" s="9" t="s">
        <v>71</v>
      </c>
    </row>
    <row r="3" spans="1:4" ht="15.75" x14ac:dyDescent="0.25">
      <c r="A3" s="11">
        <v>1</v>
      </c>
      <c r="B3" s="11" t="s">
        <v>42</v>
      </c>
      <c r="C3" s="14" t="s">
        <v>43</v>
      </c>
      <c r="D3" s="11">
        <v>4.2</v>
      </c>
    </row>
    <row r="4" spans="1:4" ht="15.75" x14ac:dyDescent="0.25">
      <c r="A4" s="11">
        <v>2</v>
      </c>
      <c r="B4" s="11" t="s">
        <v>44</v>
      </c>
      <c r="C4" s="14" t="s">
        <v>45</v>
      </c>
      <c r="D4" s="11">
        <v>5.8</v>
      </c>
    </row>
    <row r="5" spans="1:4" ht="15.75" x14ac:dyDescent="0.25">
      <c r="A5" s="11">
        <v>3</v>
      </c>
      <c r="B5" s="11" t="s">
        <v>46</v>
      </c>
      <c r="C5" s="14" t="s">
        <v>47</v>
      </c>
      <c r="D5" s="11">
        <v>5.8</v>
      </c>
    </row>
    <row r="6" spans="1:4" ht="15.75" x14ac:dyDescent="0.25">
      <c r="A6" s="11">
        <v>4</v>
      </c>
      <c r="B6" s="11" t="s">
        <v>48</v>
      </c>
      <c r="C6" s="14" t="s">
        <v>49</v>
      </c>
      <c r="D6" s="11">
        <v>4.5</v>
      </c>
    </row>
    <row r="7" spans="1:4" ht="15.75" x14ac:dyDescent="0.25">
      <c r="A7" s="11">
        <v>5</v>
      </c>
      <c r="B7" s="11" t="s">
        <v>50</v>
      </c>
      <c r="C7" s="14" t="s">
        <v>51</v>
      </c>
      <c r="D7" s="11">
        <v>5.5</v>
      </c>
    </row>
    <row r="8" spans="1:4" ht="15.75" x14ac:dyDescent="0.25">
      <c r="A8" s="11">
        <v>6</v>
      </c>
      <c r="B8" s="11" t="s">
        <v>52</v>
      </c>
      <c r="C8" s="14" t="s">
        <v>53</v>
      </c>
      <c r="D8" s="11">
        <v>7.5</v>
      </c>
    </row>
    <row r="9" spans="1:4" ht="15.75" x14ac:dyDescent="0.25">
      <c r="A9" s="11">
        <v>7</v>
      </c>
      <c r="B9" s="11" t="s">
        <v>54</v>
      </c>
      <c r="C9" s="14" t="s">
        <v>55</v>
      </c>
      <c r="D9" s="11">
        <v>5.3</v>
      </c>
    </row>
    <row r="10" spans="1:4" ht="15.75" x14ac:dyDescent="0.25">
      <c r="A10" s="11">
        <v>8</v>
      </c>
      <c r="B10" s="11" t="s">
        <v>56</v>
      </c>
      <c r="C10" s="14" t="s">
        <v>57</v>
      </c>
      <c r="D10" s="11">
        <v>6.8</v>
      </c>
    </row>
    <row r="11" spans="1:4" ht="15.75" x14ac:dyDescent="0.25">
      <c r="A11" s="11">
        <v>9</v>
      </c>
      <c r="B11" s="11" t="s">
        <v>58</v>
      </c>
      <c r="C11" s="14" t="s">
        <v>59</v>
      </c>
      <c r="D11" s="11">
        <v>6.3</v>
      </c>
    </row>
    <row r="12" spans="1:4" ht="15.75" x14ac:dyDescent="0.25">
      <c r="A12" s="11">
        <v>10</v>
      </c>
      <c r="B12" s="11" t="s">
        <v>60</v>
      </c>
      <c r="C12" s="14" t="s">
        <v>61</v>
      </c>
      <c r="D12" s="11">
        <v>8.3000000000000007</v>
      </c>
    </row>
    <row r="13" spans="1:4" ht="15.75" x14ac:dyDescent="0.25">
      <c r="A13" s="11">
        <v>11</v>
      </c>
      <c r="B13" s="11" t="s">
        <v>62</v>
      </c>
      <c r="C13" s="14" t="s">
        <v>63</v>
      </c>
      <c r="D13" s="11">
        <v>-3</v>
      </c>
    </row>
    <row r="14" spans="1:4" ht="15.75" x14ac:dyDescent="0.25">
      <c r="A14" s="11">
        <v>12</v>
      </c>
      <c r="B14" s="11" t="s">
        <v>64</v>
      </c>
      <c r="C14" s="14" t="s">
        <v>65</v>
      </c>
      <c r="D14" s="11">
        <v>7</v>
      </c>
    </row>
    <row r="15" spans="1:4" ht="15.75" x14ac:dyDescent="0.25">
      <c r="A15" s="11">
        <v>13</v>
      </c>
      <c r="B15" s="11" t="s">
        <v>66</v>
      </c>
      <c r="C15" s="14" t="s">
        <v>67</v>
      </c>
      <c r="D15" s="11">
        <v>-3</v>
      </c>
    </row>
    <row r="16" spans="1:4" ht="15.75" x14ac:dyDescent="0.25">
      <c r="A16" s="11">
        <v>14</v>
      </c>
      <c r="B16" s="11" t="s">
        <v>68</v>
      </c>
      <c r="C16" s="14" t="s">
        <v>69</v>
      </c>
      <c r="D16" s="11">
        <v>6.5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abSelected="1" zoomScaleNormal="100" workbookViewId="0">
      <selection activeCell="B3" sqref="B3"/>
    </sheetView>
  </sheetViews>
  <sheetFormatPr defaultColWidth="8.7109375" defaultRowHeight="15" x14ac:dyDescent="0.25"/>
  <cols>
    <col min="1" max="1" width="22" customWidth="1"/>
    <col min="2" max="2" width="13" customWidth="1"/>
    <col min="3" max="3" width="24" customWidth="1"/>
    <col min="4" max="4" width="3" customWidth="1"/>
    <col min="5" max="5" width="24" customWidth="1"/>
    <col min="6" max="6" width="16" customWidth="1"/>
  </cols>
  <sheetData>
    <row r="1" spans="1:6" ht="15" customHeight="1" x14ac:dyDescent="0.25">
      <c r="A1" s="3" t="s">
        <v>72</v>
      </c>
      <c r="B1" s="3"/>
      <c r="C1" s="3"/>
      <c r="E1" s="3" t="s">
        <v>73</v>
      </c>
      <c r="F1" s="3"/>
    </row>
    <row r="2" spans="1:6" ht="45" customHeight="1" x14ac:dyDescent="0.25">
      <c r="A2" s="9" t="s">
        <v>20</v>
      </c>
      <c r="B2" s="9" t="s">
        <v>21</v>
      </c>
      <c r="C2" s="9" t="s">
        <v>74</v>
      </c>
      <c r="E2" s="9" t="s">
        <v>75</v>
      </c>
      <c r="F2" s="9" t="s">
        <v>76</v>
      </c>
    </row>
    <row r="3" spans="1:6" ht="15.75" x14ac:dyDescent="0.25">
      <c r="A3" s="11">
        <v>0</v>
      </c>
      <c r="B3" s="11" t="s">
        <v>77</v>
      </c>
      <c r="C3" s="11">
        <v>0</v>
      </c>
      <c r="E3" s="11">
        <v>0</v>
      </c>
      <c r="F3" s="11">
        <v>1</v>
      </c>
    </row>
    <row r="4" spans="1:6" ht="15.75" x14ac:dyDescent="0.25">
      <c r="A4" s="11">
        <v>4</v>
      </c>
      <c r="B4" s="11" t="s">
        <v>78</v>
      </c>
      <c r="C4" s="11">
        <v>1</v>
      </c>
      <c r="E4" s="11">
        <v>1</v>
      </c>
      <c r="F4" s="11">
        <v>0.5</v>
      </c>
    </row>
    <row r="5" spans="1:6" ht="15.75" x14ac:dyDescent="0.25">
      <c r="A5" s="11">
        <v>5</v>
      </c>
      <c r="B5" s="11" t="s">
        <v>79</v>
      </c>
      <c r="C5" s="11">
        <v>1.5</v>
      </c>
      <c r="E5" s="11">
        <v>2</v>
      </c>
      <c r="F5" s="11">
        <v>0.25</v>
      </c>
    </row>
    <row r="6" spans="1:6" ht="15.75" x14ac:dyDescent="0.25">
      <c r="A6" s="11">
        <v>5.5</v>
      </c>
      <c r="B6" s="11" t="s">
        <v>80</v>
      </c>
      <c r="C6" s="11">
        <v>2</v>
      </c>
    </row>
    <row r="7" spans="1:6" ht="15.75" x14ac:dyDescent="0.25">
      <c r="A7" s="11">
        <v>6.5</v>
      </c>
      <c r="B7" s="11" t="s">
        <v>81</v>
      </c>
      <c r="C7" s="11">
        <v>2.5</v>
      </c>
    </row>
    <row r="8" spans="1:6" ht="15.75" x14ac:dyDescent="0.25">
      <c r="A8" s="11">
        <v>7</v>
      </c>
      <c r="B8" s="11" t="s">
        <v>82</v>
      </c>
      <c r="C8" s="11">
        <v>3</v>
      </c>
    </row>
    <row r="9" spans="1:6" ht="15.75" x14ac:dyDescent="0.25">
      <c r="A9" s="11">
        <v>8</v>
      </c>
      <c r="B9" s="11" t="s">
        <v>29</v>
      </c>
      <c r="C9" s="11">
        <v>3.5</v>
      </c>
    </row>
    <row r="10" spans="1:6" ht="15.75" x14ac:dyDescent="0.25">
      <c r="A10" s="11">
        <v>9</v>
      </c>
      <c r="B10" s="11" t="s">
        <v>31</v>
      </c>
      <c r="C10" s="11">
        <v>4</v>
      </c>
    </row>
    <row r="12" spans="1:6" ht="15" customHeight="1" x14ac:dyDescent="0.25">
      <c r="A12" s="3" t="s">
        <v>83</v>
      </c>
      <c r="B12" s="3"/>
      <c r="C12" s="3"/>
      <c r="E12" s="3" t="s">
        <v>84</v>
      </c>
      <c r="F12" s="3"/>
    </row>
    <row r="13" spans="1:6" ht="31.5" customHeight="1" x14ac:dyDescent="0.25">
      <c r="A13" s="9" t="s">
        <v>11</v>
      </c>
      <c r="B13" s="9" t="s">
        <v>12</v>
      </c>
      <c r="C13" s="9" t="s">
        <v>13</v>
      </c>
      <c r="E13" s="9" t="s">
        <v>21</v>
      </c>
      <c r="F13" s="9" t="s">
        <v>85</v>
      </c>
    </row>
    <row r="14" spans="1:6" ht="15.75" x14ac:dyDescent="0.25">
      <c r="A14" s="11">
        <v>1</v>
      </c>
      <c r="B14" s="11" t="s">
        <v>48</v>
      </c>
      <c r="C14" s="14" t="s">
        <v>49</v>
      </c>
      <c r="E14" s="11" t="s">
        <v>31</v>
      </c>
      <c r="F14" s="11">
        <f>COUNTIF('Tổng hợp điểm'!$K$7:$K$20,E14)</f>
        <v>0</v>
      </c>
    </row>
    <row r="15" spans="1:6" ht="15.75" x14ac:dyDescent="0.25">
      <c r="A15" s="11">
        <v>2</v>
      </c>
      <c r="B15" s="11" t="s">
        <v>56</v>
      </c>
      <c r="C15" s="14" t="s">
        <v>57</v>
      </c>
      <c r="E15" s="11" t="s">
        <v>29</v>
      </c>
      <c r="F15" s="11">
        <f>COUNTIF('Tổng hợp điểm'!$K$7:$K$20,E15)</f>
        <v>1</v>
      </c>
    </row>
    <row r="16" spans="1:6" ht="15.75" x14ac:dyDescent="0.25">
      <c r="A16" s="11">
        <v>3</v>
      </c>
      <c r="B16" s="11" t="s">
        <v>58</v>
      </c>
      <c r="C16" s="14" t="s">
        <v>59</v>
      </c>
      <c r="E16" s="11" t="s">
        <v>82</v>
      </c>
      <c r="F16" s="11">
        <f>COUNTIF('Tổng hợp điểm'!$K$7:$K$20,E16)</f>
        <v>2</v>
      </c>
    </row>
    <row r="17" spans="1:6" ht="15.75" x14ac:dyDescent="0.25">
      <c r="A17" s="11">
        <v>4</v>
      </c>
      <c r="B17" s="11" t="s">
        <v>54</v>
      </c>
      <c r="C17" s="14" t="s">
        <v>55</v>
      </c>
      <c r="E17" s="11" t="s">
        <v>81</v>
      </c>
      <c r="F17" s="11">
        <f>COUNTIF('Tổng hợp điểm'!$K$7:$K$20,E17)</f>
        <v>2</v>
      </c>
    </row>
    <row r="18" spans="1:6" ht="15.75" x14ac:dyDescent="0.25">
      <c r="A18" s="11">
        <v>5</v>
      </c>
      <c r="B18" s="11" t="s">
        <v>50</v>
      </c>
      <c r="C18" s="14" t="s">
        <v>51</v>
      </c>
      <c r="E18" s="11" t="s">
        <v>80</v>
      </c>
      <c r="F18" s="11">
        <f>COUNTIF('Tổng hợp điểm'!$K$7:$K$20,E18)</f>
        <v>5</v>
      </c>
    </row>
    <row r="19" spans="1:6" ht="15.75" x14ac:dyDescent="0.25">
      <c r="A19" s="11">
        <v>6</v>
      </c>
      <c r="B19" s="11" t="s">
        <v>44</v>
      </c>
      <c r="C19" s="14" t="s">
        <v>45</v>
      </c>
      <c r="E19" s="11" t="s">
        <v>79</v>
      </c>
      <c r="F19" s="11">
        <f>COUNTIF('Tổng hợp điểm'!$K$7:$K$20,E19)</f>
        <v>1</v>
      </c>
    </row>
    <row r="20" spans="1:6" ht="15.75" x14ac:dyDescent="0.25">
      <c r="A20" s="11">
        <v>7</v>
      </c>
      <c r="B20" s="11" t="s">
        <v>62</v>
      </c>
      <c r="C20" s="14" t="s">
        <v>63</v>
      </c>
      <c r="E20" s="11" t="s">
        <v>78</v>
      </c>
      <c r="F20" s="11">
        <f>COUNTIF('Tổng hợp điểm'!$K$7:$K$20,E20)</f>
        <v>0</v>
      </c>
    </row>
    <row r="21" spans="1:6" ht="15.75" x14ac:dyDescent="0.25">
      <c r="A21" s="11">
        <v>8</v>
      </c>
      <c r="B21" s="11" t="s">
        <v>68</v>
      </c>
      <c r="C21" s="14" t="s">
        <v>69</v>
      </c>
      <c r="E21" s="11" t="s">
        <v>77</v>
      </c>
      <c r="F21" s="11">
        <f>COUNTIF('Tổng hợp điểm'!$K$7:$K$20,E21)</f>
        <v>3</v>
      </c>
    </row>
    <row r="22" spans="1:6" ht="15.75" x14ac:dyDescent="0.25">
      <c r="A22" s="11">
        <v>9</v>
      </c>
      <c r="B22" s="11" t="s">
        <v>64</v>
      </c>
      <c r="C22" s="14" t="s">
        <v>65</v>
      </c>
    </row>
    <row r="23" spans="1:6" ht="15" customHeight="1" x14ac:dyDescent="0.25">
      <c r="A23" s="11">
        <v>10</v>
      </c>
      <c r="B23" s="11" t="s">
        <v>46</v>
      </c>
      <c r="C23" s="14" t="s">
        <v>47</v>
      </c>
      <c r="E23" s="3" t="s">
        <v>86</v>
      </c>
      <c r="F23" s="3"/>
    </row>
    <row r="24" spans="1:6" ht="15" customHeight="1" x14ac:dyDescent="0.25">
      <c r="A24" s="11">
        <v>11</v>
      </c>
      <c r="B24" s="11" t="s">
        <v>60</v>
      </c>
      <c r="C24" s="14" t="s">
        <v>61</v>
      </c>
      <c r="E24" s="2" t="s">
        <v>87</v>
      </c>
      <c r="F24" s="1">
        <f>SUMPRODUCT((('Tổng hợp điểm'!$G$7:$G$20=0)+('Tổng hợp điểm'!$H$7:$H$20=-3)&gt;0)*1)</f>
        <v>3</v>
      </c>
    </row>
    <row r="25" spans="1:6" ht="15.75" x14ac:dyDescent="0.25">
      <c r="A25" s="11">
        <v>12</v>
      </c>
      <c r="B25" s="11" t="s">
        <v>42</v>
      </c>
      <c r="C25" s="14" t="s">
        <v>43</v>
      </c>
      <c r="E25" s="2"/>
      <c r="F25" s="2"/>
    </row>
    <row r="26" spans="1:6" ht="15.75" x14ac:dyDescent="0.25">
      <c r="A26" s="11">
        <v>13</v>
      </c>
      <c r="B26" s="11" t="s">
        <v>52</v>
      </c>
      <c r="C26" s="14" t="s">
        <v>53</v>
      </c>
      <c r="E26" s="2"/>
      <c r="F26" s="2"/>
    </row>
    <row r="27" spans="1:6" ht="30" customHeight="1" x14ac:dyDescent="0.25">
      <c r="A27" s="11">
        <v>14</v>
      </c>
      <c r="B27" s="11" t="s">
        <v>66</v>
      </c>
      <c r="C27" s="14" t="s">
        <v>67</v>
      </c>
      <c r="E27" s="11" t="s">
        <v>88</v>
      </c>
      <c r="F27" s="15">
        <f>SUMPRODUCT((VALUE(LEFT('Tổng hợp điểm'!$B$7:$B$20,1))&gt;2)*1)</f>
        <v>2</v>
      </c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 a</cp:lastModifiedBy>
  <cp:revision>0</cp:revision>
  <dcterms:created xsi:type="dcterms:W3CDTF">2026-09-20T16:58:16Z</dcterms:created>
  <dcterms:modified xsi:type="dcterms:W3CDTF">2026-09-20T17:04:09Z</dcterms:modified>
  <dc:language>en-US</dc:language>
</cp:coreProperties>
</file>